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Courses\Financial Analyst Course\The Complete Financial Analyst Course\Section 13\121. Introduction to the Exercise\"/>
    </mc:Choice>
  </mc:AlternateContent>
  <xr:revisionPtr revIDLastSave="0" documentId="13_ncr:1_{F924CAF2-6C6E-46FA-9BED-A56DF80DF2A4}" xr6:coauthVersionLast="47" xr6:coauthVersionMax="47" xr10:uidLastSave="{00000000-0000-0000-0000-000000000000}"/>
  <bookViews>
    <workbookView xWindow="-110" yWindow="-110" windowWidth="19420" windowHeight="10300" firstSheet="4" activeTab="5" xr2:uid="{00000000-000D-0000-FFFF-FFFF00000000}"/>
  </bookViews>
  <sheets>
    <sheet name="Data Source" sheetId="12" r:id="rId1"/>
    <sheet name="BS 2014" sheetId="14" r:id="rId2"/>
    <sheet name="BS 2015" sheetId="15" r:id="rId3"/>
    <sheet name="BS 2016" sheetId="16" r:id="rId4"/>
    <sheet name="Work" sheetId="7" r:id="rId5"/>
    <sheet name="P&amp;L" sheetId="11" r:id="rId6"/>
    <sheet name="BS" sheetId="13" r:id="rId7"/>
    <sheet name="FA Roll Forward" sheetId="17" r:id="rId8"/>
    <sheet name="Financial Liabilities" sheetId="18" r:id="rId9"/>
    <sheet name="Equity Schedule" sheetId="19" r:id="rId10"/>
    <sheet name="Cash flow" sheetId="20" r:id="rId11"/>
  </sheets>
  <definedNames>
    <definedName name="_xlnm._FilterDatabase" localSheetId="4" hidden="1">Work!$A$3:$E$438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7" i="20" l="1"/>
  <c r="F17" i="20"/>
  <c r="E17" i="20"/>
  <c r="D17" i="20"/>
  <c r="G16" i="20"/>
  <c r="F16" i="20"/>
  <c r="E16" i="20"/>
  <c r="D16" i="20"/>
  <c r="G13" i="20"/>
  <c r="F13" i="20"/>
  <c r="E13" i="20"/>
  <c r="D13" i="20"/>
  <c r="G6" i="20"/>
  <c r="F6" i="20"/>
  <c r="E6" i="20"/>
  <c r="D6" i="20"/>
  <c r="C17" i="20"/>
  <c r="C16" i="20"/>
  <c r="C13" i="20"/>
  <c r="C6" i="20"/>
  <c r="F7" i="19"/>
  <c r="E11" i="19"/>
  <c r="D11" i="19"/>
  <c r="G16" i="13"/>
  <c r="H16" i="13"/>
  <c r="I16" i="13"/>
  <c r="J16" i="13"/>
  <c r="F16" i="13"/>
  <c r="C11" i="19"/>
  <c r="I11" i="11"/>
  <c r="J11" i="11"/>
  <c r="K11" i="11"/>
  <c r="L11" i="11"/>
  <c r="H11" i="11"/>
  <c r="G10" i="18"/>
  <c r="F10" i="18"/>
  <c r="G7" i="18" s="1"/>
  <c r="G9" i="18"/>
  <c r="H9" i="18"/>
  <c r="I9" i="18"/>
  <c r="J9" i="18"/>
  <c r="F9" i="18"/>
  <c r="E18" i="18"/>
  <c r="D18" i="18"/>
  <c r="D19" i="18"/>
  <c r="D20" i="18" s="1"/>
  <c r="C20" i="18"/>
  <c r="C19" i="18"/>
  <c r="C17" i="18"/>
  <c r="C18" i="18"/>
  <c r="D17" i="18"/>
  <c r="E17" i="18"/>
  <c r="F17" i="18"/>
  <c r="G17" i="18"/>
  <c r="H17" i="18"/>
  <c r="I17" i="18"/>
  <c r="J17" i="18"/>
  <c r="K17" i="18"/>
  <c r="L17" i="18"/>
  <c r="C14" i="18"/>
  <c r="E9" i="18"/>
  <c r="D9" i="18"/>
  <c r="H7" i="18"/>
  <c r="H10" i="18" s="1"/>
  <c r="I7" i="18" s="1"/>
  <c r="I10" i="18" s="1"/>
  <c r="J7" i="18" s="1"/>
  <c r="J10" i="18" s="1"/>
  <c r="F7" i="18"/>
  <c r="E7" i="18"/>
  <c r="D7" i="18"/>
  <c r="D10" i="18"/>
  <c r="E10" i="18"/>
  <c r="C10" i="18"/>
  <c r="I9" i="11"/>
  <c r="J9" i="11"/>
  <c r="K9" i="11"/>
  <c r="L9" i="11"/>
  <c r="H9" i="11"/>
  <c r="G9" i="13"/>
  <c r="H9" i="13"/>
  <c r="I9" i="13"/>
  <c r="J9" i="13"/>
  <c r="F9" i="13"/>
  <c r="J8" i="17"/>
  <c r="I8" i="17"/>
  <c r="H8" i="17"/>
  <c r="G8" i="17"/>
  <c r="F8" i="17"/>
  <c r="F9" i="17"/>
  <c r="E9" i="17"/>
  <c r="F13" i="17"/>
  <c r="G12" i="17"/>
  <c r="H12" i="17"/>
  <c r="I12" i="17"/>
  <c r="J12" i="17"/>
  <c r="F12" i="17"/>
  <c r="F7" i="17"/>
  <c r="E13" i="17"/>
  <c r="G13" i="17" s="1"/>
  <c r="D13" i="17"/>
  <c r="E12" i="17"/>
  <c r="D12" i="17"/>
  <c r="E10" i="17"/>
  <c r="E8" i="17"/>
  <c r="D8" i="17"/>
  <c r="E7" i="17"/>
  <c r="D9" i="17"/>
  <c r="C10" i="17"/>
  <c r="G15" i="13"/>
  <c r="H15" i="13"/>
  <c r="I15" i="13"/>
  <c r="J15" i="13"/>
  <c r="F15" i="13"/>
  <c r="G22" i="13"/>
  <c r="H22" i="13"/>
  <c r="I22" i="13"/>
  <c r="J22" i="13"/>
  <c r="G23" i="13"/>
  <c r="H23" i="13"/>
  <c r="I23" i="13"/>
  <c r="J23" i="13"/>
  <c r="G24" i="13"/>
  <c r="H24" i="13"/>
  <c r="I24" i="13"/>
  <c r="J24" i="13"/>
  <c r="G25" i="13"/>
  <c r="H25" i="13"/>
  <c r="I25" i="13"/>
  <c r="J25" i="13"/>
  <c r="F22" i="13"/>
  <c r="F23" i="13"/>
  <c r="F24" i="13"/>
  <c r="F25" i="13"/>
  <c r="G21" i="13"/>
  <c r="H21" i="13"/>
  <c r="I21" i="13"/>
  <c r="J21" i="13"/>
  <c r="F21" i="13"/>
  <c r="D25" i="13"/>
  <c r="E25" i="13"/>
  <c r="C25" i="13"/>
  <c r="D24" i="13"/>
  <c r="E24" i="13"/>
  <c r="C24" i="13"/>
  <c r="D23" i="13"/>
  <c r="E23" i="13"/>
  <c r="C23" i="13"/>
  <c r="C22" i="13"/>
  <c r="D22" i="13"/>
  <c r="E22" i="13"/>
  <c r="D21" i="13"/>
  <c r="E21" i="13"/>
  <c r="C21" i="13"/>
  <c r="I31" i="11"/>
  <c r="J31" i="11"/>
  <c r="K31" i="11"/>
  <c r="L31" i="11"/>
  <c r="H31" i="11"/>
  <c r="I25" i="11"/>
  <c r="J25" i="11"/>
  <c r="K25" i="11"/>
  <c r="L25" i="11"/>
  <c r="H25" i="11"/>
  <c r="I19" i="11"/>
  <c r="J19" i="11"/>
  <c r="K19" i="11"/>
  <c r="L19" i="11"/>
  <c r="H19" i="11"/>
  <c r="H4" i="11" s="1"/>
  <c r="F7" i="13" s="1"/>
  <c r="C8" i="20" s="1"/>
  <c r="E18" i="13"/>
  <c r="E17" i="13"/>
  <c r="E16" i="13"/>
  <c r="E15" i="13"/>
  <c r="E14" i="13"/>
  <c r="E19" i="13" s="1"/>
  <c r="E11" i="13"/>
  <c r="E10" i="13"/>
  <c r="E9" i="13"/>
  <c r="E8" i="13"/>
  <c r="E7" i="13"/>
  <c r="D18" i="13"/>
  <c r="D17" i="13"/>
  <c r="D16" i="13"/>
  <c r="D15" i="13"/>
  <c r="D14" i="13"/>
  <c r="D11" i="13"/>
  <c r="D10" i="13"/>
  <c r="D9" i="13"/>
  <c r="D8" i="13"/>
  <c r="D7" i="13"/>
  <c r="C15" i="13"/>
  <c r="C16" i="13"/>
  <c r="C17" i="13"/>
  <c r="C18" i="13"/>
  <c r="C14" i="13"/>
  <c r="C7" i="13"/>
  <c r="C11" i="13"/>
  <c r="C9" i="13"/>
  <c r="C10" i="13"/>
  <c r="C8" i="13"/>
  <c r="C12" i="13"/>
  <c r="C13" i="11"/>
  <c r="D13" i="11"/>
  <c r="B13" i="11"/>
  <c r="C11" i="11"/>
  <c r="D11" i="11"/>
  <c r="B11" i="11"/>
  <c r="C9" i="11"/>
  <c r="D9" i="11"/>
  <c r="G9" i="11" s="1"/>
  <c r="B9" i="11"/>
  <c r="B7" i="11"/>
  <c r="C7" i="11"/>
  <c r="D7" i="11"/>
  <c r="G7" i="11" s="1"/>
  <c r="C5" i="11"/>
  <c r="D5" i="11"/>
  <c r="B5" i="11"/>
  <c r="B4" i="11"/>
  <c r="B6" i="11" s="1"/>
  <c r="C4" i="11"/>
  <c r="D4" i="11"/>
  <c r="B436" i="7"/>
  <c r="B437" i="7"/>
  <c r="B438" i="7"/>
  <c r="B435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" i="7"/>
  <c r="D14" i="19" l="1"/>
  <c r="E14" i="19"/>
  <c r="J14" i="19" s="1"/>
  <c r="I14" i="19"/>
  <c r="G14" i="19"/>
  <c r="F14" i="19"/>
  <c r="E19" i="18"/>
  <c r="E20" i="18" s="1"/>
  <c r="J13" i="17"/>
  <c r="I13" i="17"/>
  <c r="H13" i="17"/>
  <c r="F17" i="13"/>
  <c r="C12" i="20" s="1"/>
  <c r="F11" i="13"/>
  <c r="C11" i="20" s="1"/>
  <c r="H7" i="11"/>
  <c r="E12" i="13"/>
  <c r="D12" i="13"/>
  <c r="D29" i="13" s="1"/>
  <c r="D19" i="13"/>
  <c r="H5" i="11"/>
  <c r="I4" i="11"/>
  <c r="G17" i="13" s="1"/>
  <c r="D12" i="20" s="1"/>
  <c r="C28" i="11"/>
  <c r="F11" i="11"/>
  <c r="F7" i="11"/>
  <c r="D6" i="11"/>
  <c r="B33" i="11"/>
  <c r="G13" i="11"/>
  <c r="C6" i="11"/>
  <c r="G6" i="11" s="1"/>
  <c r="F13" i="11"/>
  <c r="C26" i="11"/>
  <c r="D28" i="11"/>
  <c r="B27" i="11"/>
  <c r="F9" i="11"/>
  <c r="G5" i="11"/>
  <c r="B28" i="11"/>
  <c r="D32" i="11"/>
  <c r="C32" i="11"/>
  <c r="D34" i="11"/>
  <c r="C34" i="11"/>
  <c r="B8" i="11"/>
  <c r="B10" i="11" s="1"/>
  <c r="B12" i="11" s="1"/>
  <c r="B14" i="11" s="1"/>
  <c r="D27" i="11"/>
  <c r="B34" i="11"/>
  <c r="C27" i="11"/>
  <c r="D33" i="11"/>
  <c r="F5" i="11"/>
  <c r="B26" i="11"/>
  <c r="C33" i="11"/>
  <c r="D26" i="11"/>
  <c r="B32" i="11"/>
  <c r="D8" i="11"/>
  <c r="F4" i="11"/>
  <c r="G11" i="11"/>
  <c r="G4" i="11"/>
  <c r="E29" i="13"/>
  <c r="C19" i="13"/>
  <c r="C29" i="13" s="1"/>
  <c r="H14" i="19" l="1"/>
  <c r="F18" i="18"/>
  <c r="F19" i="18" s="1"/>
  <c r="F20" i="18" s="1"/>
  <c r="G18" i="18" s="1"/>
  <c r="G19" i="18" s="1"/>
  <c r="G20" i="18" s="1"/>
  <c r="H18" i="18" s="1"/>
  <c r="H19" i="18" s="1"/>
  <c r="H20" i="18" s="1"/>
  <c r="I18" i="18" s="1"/>
  <c r="G7" i="13"/>
  <c r="D8" i="20" s="1"/>
  <c r="G11" i="13"/>
  <c r="D11" i="20" s="1"/>
  <c r="F8" i="13"/>
  <c r="C9" i="20" s="1"/>
  <c r="F14" i="13"/>
  <c r="C10" i="20" s="1"/>
  <c r="H6" i="11"/>
  <c r="H8" i="11" s="1"/>
  <c r="I7" i="11"/>
  <c r="I5" i="11"/>
  <c r="G8" i="13" s="1"/>
  <c r="J4" i="11"/>
  <c r="H17" i="13" s="1"/>
  <c r="E12" i="20" s="1"/>
  <c r="C8" i="11"/>
  <c r="C10" i="11" s="1"/>
  <c r="F6" i="11"/>
  <c r="D10" i="11"/>
  <c r="G8" i="11"/>
  <c r="D9" i="20" l="1"/>
  <c r="H10" i="11"/>
  <c r="H12" i="11" s="1"/>
  <c r="H13" i="11" s="1"/>
  <c r="C5" i="20"/>
  <c r="I19" i="18"/>
  <c r="I20" i="18" s="1"/>
  <c r="J18" i="18" s="1"/>
  <c r="H7" i="13"/>
  <c r="E8" i="20" s="1"/>
  <c r="H11" i="13"/>
  <c r="E11" i="20" s="1"/>
  <c r="I6" i="11"/>
  <c r="I8" i="11" s="1"/>
  <c r="G14" i="13"/>
  <c r="D10" i="20" s="1"/>
  <c r="J7" i="11"/>
  <c r="J5" i="11"/>
  <c r="H8" i="13" s="1"/>
  <c r="E9" i="20" s="1"/>
  <c r="K4" i="11"/>
  <c r="I17" i="13" s="1"/>
  <c r="F12" i="20" s="1"/>
  <c r="F8" i="11"/>
  <c r="D12" i="11"/>
  <c r="G10" i="11"/>
  <c r="C12" i="11"/>
  <c r="F10" i="11"/>
  <c r="I10" i="11" l="1"/>
  <c r="I12" i="11" s="1"/>
  <c r="I13" i="11" s="1"/>
  <c r="D5" i="20"/>
  <c r="H14" i="11"/>
  <c r="F9" i="19" s="1"/>
  <c r="F10" i="19" s="1"/>
  <c r="C7" i="20"/>
  <c r="C14" i="20" s="1"/>
  <c r="J19" i="18"/>
  <c r="J20" i="18" s="1"/>
  <c r="K18" i="18" s="1"/>
  <c r="I7" i="13"/>
  <c r="F8" i="20" s="1"/>
  <c r="I11" i="13"/>
  <c r="F11" i="20" s="1"/>
  <c r="J6" i="11"/>
  <c r="J8" i="11" s="1"/>
  <c r="H14" i="13"/>
  <c r="E10" i="20" s="1"/>
  <c r="K7" i="11"/>
  <c r="K5" i="11"/>
  <c r="I8" i="13" s="1"/>
  <c r="F9" i="20" s="1"/>
  <c r="L4" i="11"/>
  <c r="J17" i="13" s="1"/>
  <c r="G12" i="20" s="1"/>
  <c r="F12" i="11"/>
  <c r="C14" i="11"/>
  <c r="F14" i="11" s="1"/>
  <c r="G12" i="11"/>
  <c r="D14" i="11"/>
  <c r="G14" i="11" s="1"/>
  <c r="I14" i="11" l="1"/>
  <c r="G9" i="19" s="1"/>
  <c r="G10" i="19" s="1"/>
  <c r="D15" i="20" s="1"/>
  <c r="D7" i="20"/>
  <c r="D14" i="20"/>
  <c r="J10" i="11"/>
  <c r="J12" i="11" s="1"/>
  <c r="E5" i="20"/>
  <c r="F11" i="19"/>
  <c r="C15" i="20"/>
  <c r="J13" i="11"/>
  <c r="K19" i="18"/>
  <c r="K20" i="18"/>
  <c r="L18" i="18" s="1"/>
  <c r="J7" i="13"/>
  <c r="G8" i="20" s="1"/>
  <c r="J11" i="13"/>
  <c r="G11" i="20" s="1"/>
  <c r="K6" i="11"/>
  <c r="K8" i="11" s="1"/>
  <c r="I14" i="13"/>
  <c r="F10" i="20" s="1"/>
  <c r="L7" i="11"/>
  <c r="L5" i="11"/>
  <c r="J8" i="13" s="1"/>
  <c r="G9" i="20" s="1"/>
  <c r="J14" i="11" l="1"/>
  <c r="H9" i="19" s="1"/>
  <c r="E7" i="20"/>
  <c r="E14" i="20" s="1"/>
  <c r="K10" i="11"/>
  <c r="K12" i="11" s="1"/>
  <c r="K13" i="11" s="1"/>
  <c r="F5" i="20"/>
  <c r="G7" i="19"/>
  <c r="G11" i="19" s="1"/>
  <c r="C18" i="20"/>
  <c r="C19" i="20" s="1"/>
  <c r="F10" i="13" s="1"/>
  <c r="F18" i="13"/>
  <c r="F19" i="13" s="1"/>
  <c r="H10" i="19"/>
  <c r="E15" i="20" s="1"/>
  <c r="L19" i="18"/>
  <c r="L20" i="18"/>
  <c r="L6" i="11"/>
  <c r="L8" i="11" s="1"/>
  <c r="J14" i="13"/>
  <c r="G10" i="20" s="1"/>
  <c r="K14" i="11" l="1"/>
  <c r="I9" i="19" s="1"/>
  <c r="F7" i="20"/>
  <c r="H7" i="19"/>
  <c r="H11" i="19" s="1"/>
  <c r="E18" i="20" s="1"/>
  <c r="E19" i="20" s="1"/>
  <c r="D18" i="20"/>
  <c r="D19" i="20" s="1"/>
  <c r="G10" i="13" s="1"/>
  <c r="L10" i="11"/>
  <c r="L12" i="11" s="1"/>
  <c r="L13" i="11" s="1"/>
  <c r="G5" i="20"/>
  <c r="F14" i="20"/>
  <c r="F12" i="13"/>
  <c r="F29" i="13" s="1"/>
  <c r="G18" i="13"/>
  <c r="G19" i="13" s="1"/>
  <c r="I10" i="19"/>
  <c r="F15" i="20" s="1"/>
  <c r="F10" i="17"/>
  <c r="G7" i="17" s="1"/>
  <c r="G9" i="17" s="1"/>
  <c r="G29" i="13" l="1"/>
  <c r="L14" i="11"/>
  <c r="J9" i="19" s="1"/>
  <c r="J10" i="19" s="1"/>
  <c r="G15" i="20" s="1"/>
  <c r="G7" i="20"/>
  <c r="G14" i="20" s="1"/>
  <c r="H10" i="13"/>
  <c r="G12" i="13"/>
  <c r="I7" i="19"/>
  <c r="I11" i="19" s="1"/>
  <c r="F18" i="20" s="1"/>
  <c r="F19" i="20" s="1"/>
  <c r="H18" i="13"/>
  <c r="H19" i="13" s="1"/>
  <c r="G10" i="17"/>
  <c r="H7" i="17" s="1"/>
  <c r="H9" i="17" s="1"/>
  <c r="H29" i="13" l="1"/>
  <c r="I10" i="13"/>
  <c r="H12" i="13"/>
  <c r="J7" i="19"/>
  <c r="J11" i="19" s="1"/>
  <c r="I18" i="13"/>
  <c r="I19" i="13" s="1"/>
  <c r="H10" i="17"/>
  <c r="I7" i="17" s="1"/>
  <c r="I9" i="17" s="1"/>
  <c r="J18" i="13" l="1"/>
  <c r="J19" i="13" s="1"/>
  <c r="G18" i="20"/>
  <c r="G19" i="20" s="1"/>
  <c r="J10" i="13" s="1"/>
  <c r="J12" i="13" s="1"/>
  <c r="I12" i="13"/>
  <c r="I29" i="13" s="1"/>
  <c r="I10" i="17"/>
  <c r="J7" i="17" s="1"/>
  <c r="J9" i="17" s="1"/>
  <c r="J29" i="13" l="1"/>
  <c r="J10" i="17"/>
</calcChain>
</file>

<file path=xl/sharedStrings.xml><?xml version="1.0" encoding="utf-8"?>
<sst xmlns="http://schemas.openxmlformats.org/spreadsheetml/2006/main" count="2088" uniqueCount="176">
  <si>
    <t>Financials</t>
  </si>
  <si>
    <t>Amount</t>
  </si>
  <si>
    <t>Revenue - Supermarkets</t>
  </si>
  <si>
    <t>Revenue - Grocery</t>
  </si>
  <si>
    <t>Revenue - Discounters</t>
  </si>
  <si>
    <t>Date</t>
  </si>
  <si>
    <t>Revenue - Retail</t>
  </si>
  <si>
    <t>Cogs - Supermarkets</t>
  </si>
  <si>
    <t>Operating expenses</t>
  </si>
  <si>
    <t>Cogs - Discounters</t>
  </si>
  <si>
    <t>Cogs - Grocery</t>
  </si>
  <si>
    <t>Cogs - Retail</t>
  </si>
  <si>
    <t>D&amp;A</t>
  </si>
  <si>
    <t>1.1.2014</t>
  </si>
  <si>
    <t>2.1.2014</t>
  </si>
  <si>
    <t>3.1.2014</t>
  </si>
  <si>
    <t>4.1.2014</t>
  </si>
  <si>
    <t>5.1.2014</t>
  </si>
  <si>
    <t>6.1.2014</t>
  </si>
  <si>
    <t>7.1.2014</t>
  </si>
  <si>
    <t>8.1.2014</t>
  </si>
  <si>
    <t>9.1.2014</t>
  </si>
  <si>
    <t>10.1.2014</t>
  </si>
  <si>
    <t>11.1.2014</t>
  </si>
  <si>
    <t>12.1.2014</t>
  </si>
  <si>
    <t>1.1.2015</t>
  </si>
  <si>
    <t>2.1.2015</t>
  </si>
  <si>
    <t>3.1.2015</t>
  </si>
  <si>
    <t>4.1.2015</t>
  </si>
  <si>
    <t>5.1.2015</t>
  </si>
  <si>
    <t>6.1.2015</t>
  </si>
  <si>
    <t>7.1.2015</t>
  </si>
  <si>
    <t>8.1.2015</t>
  </si>
  <si>
    <t>9.1.2015</t>
  </si>
  <si>
    <t>10.1.2015</t>
  </si>
  <si>
    <t>11.1.2015</t>
  </si>
  <si>
    <t>12.1.2015</t>
  </si>
  <si>
    <t>1.1.2016</t>
  </si>
  <si>
    <t>2.1.2016</t>
  </si>
  <si>
    <t>3.1.2016</t>
  </si>
  <si>
    <t>4.1.2016</t>
  </si>
  <si>
    <t>5.1.2016</t>
  </si>
  <si>
    <t>6.1.2016</t>
  </si>
  <si>
    <t>7.1.2016</t>
  </si>
  <si>
    <t>8.1.2016</t>
  </si>
  <si>
    <t>9.1.2016</t>
  </si>
  <si>
    <t>10.1.2016</t>
  </si>
  <si>
    <t>11.1.2016</t>
  </si>
  <si>
    <t>12.1.2016</t>
  </si>
  <si>
    <t>Interest expenses</t>
  </si>
  <si>
    <t>Taxes</t>
  </si>
  <si>
    <t>Other revenue</t>
  </si>
  <si>
    <t>Year</t>
  </si>
  <si>
    <t xml:space="preserve">Mapping </t>
  </si>
  <si>
    <t>Revenue</t>
  </si>
  <si>
    <t>Cost of goods sold</t>
  </si>
  <si>
    <t>P&amp;L</t>
  </si>
  <si>
    <t>Gross Profit</t>
  </si>
  <si>
    <t>EBITDA</t>
  </si>
  <si>
    <t>EBIT</t>
  </si>
  <si>
    <t>EBT</t>
  </si>
  <si>
    <t xml:space="preserve">Net income </t>
  </si>
  <si>
    <t>$ in million</t>
  </si>
  <si>
    <t>Var % 14-15</t>
  </si>
  <si>
    <t>Var % 15-16</t>
  </si>
  <si>
    <t>$ in mln</t>
  </si>
  <si>
    <t>Receivables - Discounters</t>
  </si>
  <si>
    <t>Receivables - Other</t>
  </si>
  <si>
    <t>Receivables - Grocery</t>
  </si>
  <si>
    <t>Receivables - Retail</t>
  </si>
  <si>
    <t>Receivables - Supermarkets</t>
  </si>
  <si>
    <t>Trade Receivables</t>
  </si>
  <si>
    <t>Inventory - Discounters</t>
  </si>
  <si>
    <t>Inventory - Supermarkets</t>
  </si>
  <si>
    <t>Inventory - Grocery</t>
  </si>
  <si>
    <t>Inventory - Retail</t>
  </si>
  <si>
    <t>Inventory - Other</t>
  </si>
  <si>
    <t>Inventory</t>
  </si>
  <si>
    <t>PP&amp;E - Machinery</t>
  </si>
  <si>
    <t>PP&amp;E - Other</t>
  </si>
  <si>
    <t>PP&amp;E - IT</t>
  </si>
  <si>
    <t>PP&amp;E - Vehicles</t>
  </si>
  <si>
    <t>PP&amp;E</t>
  </si>
  <si>
    <t>Cash - Bank Accounts</t>
  </si>
  <si>
    <t>Cash - T-bills</t>
  </si>
  <si>
    <t>Cash - Cash at hand</t>
  </si>
  <si>
    <t>Cash</t>
  </si>
  <si>
    <t>Other assets</t>
  </si>
  <si>
    <t>Assets</t>
  </si>
  <si>
    <t>Trade Payables - Discounters</t>
  </si>
  <si>
    <t>Trade Payables - Other</t>
  </si>
  <si>
    <t>Trade Payables - Supermarkets</t>
  </si>
  <si>
    <t>Trade Payables - Grocery</t>
  </si>
  <si>
    <t>Trade Payables - Retail</t>
  </si>
  <si>
    <t>Trade Payables</t>
  </si>
  <si>
    <t>Provisions - Taxes</t>
  </si>
  <si>
    <t>Provisions - Legal</t>
  </si>
  <si>
    <t>Provisions - Other</t>
  </si>
  <si>
    <t>Provisions</t>
  </si>
  <si>
    <t>Financial Liabilities vs. Banks</t>
  </si>
  <si>
    <t>Financial Liabilities</t>
  </si>
  <si>
    <t>Other liabilities</t>
  </si>
  <si>
    <t>Retained Earnings</t>
  </si>
  <si>
    <t>Minority interest</t>
  </si>
  <si>
    <t>Share Capital</t>
  </si>
  <si>
    <t>Equity</t>
  </si>
  <si>
    <t>Liabilities &amp; Equity</t>
  </si>
  <si>
    <t>Code I</t>
  </si>
  <si>
    <t>R</t>
  </si>
  <si>
    <t>I</t>
  </si>
  <si>
    <t>P</t>
  </si>
  <si>
    <t>C</t>
  </si>
  <si>
    <t>O</t>
  </si>
  <si>
    <t>T</t>
  </si>
  <si>
    <t>F</t>
  </si>
  <si>
    <t>E</t>
  </si>
  <si>
    <t>Code II</t>
  </si>
  <si>
    <t>A</t>
  </si>
  <si>
    <t>L</t>
  </si>
  <si>
    <t xml:space="preserve">Check = </t>
  </si>
  <si>
    <t>Balance Sheet</t>
  </si>
  <si>
    <t>Forecast</t>
  </si>
  <si>
    <t>Scenarios:</t>
  </si>
  <si>
    <t>Scenario:</t>
  </si>
  <si>
    <t xml:space="preserve">Revenue % growth </t>
  </si>
  <si>
    <t>Best case</t>
  </si>
  <si>
    <t>Base case</t>
  </si>
  <si>
    <t>Worst case</t>
  </si>
  <si>
    <t>Cogs as % of Revenues</t>
  </si>
  <si>
    <t>Opex as % of Revenues</t>
  </si>
  <si>
    <t>Selected Case</t>
  </si>
  <si>
    <t>DSO</t>
  </si>
  <si>
    <t>DPO</t>
  </si>
  <si>
    <t>DIO</t>
  </si>
  <si>
    <t>Other Assets %</t>
  </si>
  <si>
    <t>Other Liabilities %</t>
  </si>
  <si>
    <t>Fixed Asset Rolll Forward</t>
  </si>
  <si>
    <t>Beginning PP&amp;E</t>
  </si>
  <si>
    <t>Capex</t>
  </si>
  <si>
    <t>Ending PP&amp;E</t>
  </si>
  <si>
    <t xml:space="preserve">D&amp;A as a beginnign value of PP&amp;E </t>
  </si>
  <si>
    <t>Capex as a beginning of PP&amp;E</t>
  </si>
  <si>
    <t xml:space="preserve">Beginning Debt </t>
  </si>
  <si>
    <t>New Debt</t>
  </si>
  <si>
    <t>Principal Repayment</t>
  </si>
  <si>
    <t>Ending Debt</t>
  </si>
  <si>
    <t>Debt to be repaid (in years)</t>
  </si>
  <si>
    <t xml:space="preserve">Interest rate </t>
  </si>
  <si>
    <t>Annual payment</t>
  </si>
  <si>
    <t xml:space="preserve">Period </t>
  </si>
  <si>
    <t xml:space="preserve">Payment </t>
  </si>
  <si>
    <t>Interest expense</t>
  </si>
  <si>
    <t>Debt repayment</t>
  </si>
  <si>
    <t>Residual debt</t>
  </si>
  <si>
    <t>Taxes %</t>
  </si>
  <si>
    <t xml:space="preserve"> </t>
  </si>
  <si>
    <t>Equity Schedule</t>
  </si>
  <si>
    <t>Beginning equity</t>
  </si>
  <si>
    <t>Increasing of capital</t>
  </si>
  <si>
    <t>Net income (loss)</t>
  </si>
  <si>
    <t>Dividends</t>
  </si>
  <si>
    <t>Ending equity</t>
  </si>
  <si>
    <t>Dividends as a % of Net Income</t>
  </si>
  <si>
    <t>Cash Flow</t>
  </si>
  <si>
    <t xml:space="preserve">Interest expenses </t>
  </si>
  <si>
    <t>Change in Trade receivables</t>
  </si>
  <si>
    <t>Change in Inventory</t>
  </si>
  <si>
    <t>Change in Trade Payables</t>
  </si>
  <si>
    <t>Change in Other Assests</t>
  </si>
  <si>
    <t>Change in Other Liabilities</t>
  </si>
  <si>
    <t>Operating Cash flow</t>
  </si>
  <si>
    <t xml:space="preserve">Change in Financial liabilities </t>
  </si>
  <si>
    <t>Change in Provisions</t>
  </si>
  <si>
    <t>Change in equity</t>
  </si>
  <si>
    <t>Net Cash Flow</t>
  </si>
  <si>
    <t>Forecasting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</si>
</sst>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_(* #,##0.00_);_(* \(#,##0.00\);_(* &quot;-&quot;??_);_(@_)"/>
    <numFmt numFmtId="166" formatCode="_(* #,##0.0_);_(* \(#,##0.0\);_(* &quot;-&quot;??_);_(@_)"/>
    <numFmt numFmtId="167" formatCode="0.0"/>
  </numFmts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4" tint="-0.499984740745262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002060"/>
      <name val="Arial"/>
      <family val="2"/>
      <charset val="204"/>
    </font>
    <font>
      <b/>
      <sz val="9"/>
      <color theme="1"/>
      <name val="Arial"/>
      <family val="2"/>
      <charset val="204"/>
    </font>
    <font>
      <sz val="9"/>
      <color theme="1"/>
      <name val="Arial"/>
      <family val="2"/>
    </font>
    <font>
      <b/>
      <sz val="11"/>
      <color theme="4" tint="-0.499984740745262"/>
      <name val="Arial"/>
      <family val="2"/>
    </font>
    <font>
      <b/>
      <sz val="11"/>
      <color rgb="FFFA7D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sz val="11"/>
      <color theme="4" tint="-0.249977111117893"/>
      <name val="Calibri"/>
      <family val="2"/>
      <charset val="204"/>
      <scheme val="minor"/>
    </font>
    <font>
      <sz val="9"/>
      <color theme="0"/>
      <name val="Arial"/>
      <family val="2"/>
    </font>
    <font>
      <b/>
      <sz val="13"/>
      <color theme="3"/>
      <name val="Calibri"/>
      <family val="2"/>
      <scheme val="minor"/>
    </font>
    <font>
      <sz val="9"/>
      <color theme="1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lightGray">
        <bgColor theme="0" tint="-4.9989318521683403E-2"/>
      </patternFill>
    </fill>
  </fills>
  <borders count="10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ck">
        <color theme="4" tint="-0.24994659260841701"/>
      </top>
      <bottom/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0" fontId="4" fillId="0" borderId="1" applyNumberFormat="0" applyFill="0" applyAlignment="0" applyProtection="0"/>
    <xf numFmtId="0" fontId="1" fillId="3" borderId="0" applyNumberFormat="0" applyBorder="0" applyAlignment="0" applyProtection="0"/>
    <xf numFmtId="0" fontId="7" fillId="0" borderId="2"/>
    <xf numFmtId="0" fontId="3" fillId="0" borderId="0"/>
    <xf numFmtId="0" fontId="8" fillId="0" borderId="2"/>
    <xf numFmtId="165" fontId="3" fillId="0" borderId="0" applyFont="0" applyFill="0" applyBorder="0" applyAlignment="0" applyProtection="0"/>
    <xf numFmtId="0" fontId="13" fillId="4" borderId="6" applyNumberFormat="0" applyAlignment="0" applyProtection="0"/>
    <xf numFmtId="9" fontId="3" fillId="0" borderId="0" applyFont="0" applyFill="0" applyBorder="0" applyAlignment="0" applyProtection="0"/>
    <xf numFmtId="0" fontId="18" fillId="0" borderId="8" applyNumberFormat="0" applyFill="0" applyAlignment="0" applyProtection="0"/>
    <xf numFmtId="0" fontId="11" fillId="5" borderId="9"/>
  </cellStyleXfs>
  <cellXfs count="73">
    <xf numFmtId="0" fontId="0" fillId="0" borderId="0" xfId="0"/>
    <xf numFmtId="0" fontId="0" fillId="0" borderId="0" xfId="0" applyAlignment="1">
      <alignment horizontal="left"/>
    </xf>
    <xf numFmtId="17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14" fontId="0" fillId="0" borderId="0" xfId="0" applyNumberFormat="1"/>
    <xf numFmtId="0" fontId="2" fillId="2" borderId="0" xfId="0" applyFont="1" applyFill="1"/>
    <xf numFmtId="0" fontId="4" fillId="3" borderId="0" xfId="2" applyFont="1" applyBorder="1"/>
    <xf numFmtId="0" fontId="7" fillId="0" borderId="2" xfId="3"/>
    <xf numFmtId="0" fontId="9" fillId="2" borderId="3" xfId="0" applyFont="1" applyFill="1" applyBorder="1"/>
    <xf numFmtId="0" fontId="10" fillId="2" borderId="3" xfId="0" applyFont="1" applyFill="1" applyBorder="1"/>
    <xf numFmtId="15" fontId="9" fillId="2" borderId="3" xfId="0" applyNumberFormat="1" applyFont="1" applyFill="1" applyBorder="1"/>
    <xf numFmtId="0" fontId="0" fillId="2" borderId="0" xfId="0" applyFill="1"/>
    <xf numFmtId="166" fontId="2" fillId="2" borderId="0" xfId="6" applyNumberFormat="1" applyFont="1" applyFill="1"/>
    <xf numFmtId="0" fontId="10" fillId="2" borderId="4" xfId="0" applyFont="1" applyFill="1" applyBorder="1"/>
    <xf numFmtId="166" fontId="10" fillId="2" borderId="4" xfId="6" applyNumberFormat="1" applyFont="1" applyFill="1" applyBorder="1"/>
    <xf numFmtId="0" fontId="10" fillId="2" borderId="0" xfId="0" applyFont="1" applyFill="1"/>
    <xf numFmtId="166" fontId="10" fillId="2" borderId="0" xfId="6" applyNumberFormat="1" applyFont="1" applyFill="1" applyBorder="1"/>
    <xf numFmtId="167" fontId="2" fillId="2" borderId="0" xfId="0" applyNumberFormat="1" applyFont="1" applyFill="1"/>
    <xf numFmtId="0" fontId="10" fillId="2" borderId="5" xfId="0" applyFont="1" applyFill="1" applyBorder="1"/>
    <xf numFmtId="166" fontId="10" fillId="2" borderId="5" xfId="0" applyNumberFormat="1" applyFont="1" applyFill="1" applyBorder="1"/>
    <xf numFmtId="167" fontId="10" fillId="2" borderId="5" xfId="0" applyNumberFormat="1" applyFont="1" applyFill="1" applyBorder="1"/>
    <xf numFmtId="167" fontId="10" fillId="2" borderId="4" xfId="0" applyNumberFormat="1" applyFont="1" applyFill="1" applyBorder="1"/>
    <xf numFmtId="0" fontId="11" fillId="2" borderId="0" xfId="0" applyFont="1" applyFill="1"/>
    <xf numFmtId="0" fontId="12" fillId="2" borderId="0" xfId="0" applyFont="1" applyFill="1"/>
    <xf numFmtId="15" fontId="4" fillId="3" borderId="0" xfId="2" applyNumberFormat="1" applyFont="1" applyBorder="1"/>
    <xf numFmtId="0" fontId="13" fillId="4" borderId="6" xfId="7"/>
    <xf numFmtId="0" fontId="0" fillId="7" borderId="7" xfId="0" applyFill="1" applyBorder="1"/>
    <xf numFmtId="167" fontId="7" fillId="0" borderId="2" xfId="3" applyNumberFormat="1"/>
    <xf numFmtId="0" fontId="17" fillId="5" borderId="0" xfId="0" applyFont="1" applyFill="1" applyAlignment="1">
      <alignment horizontal="center"/>
    </xf>
    <xf numFmtId="0" fontId="6" fillId="2" borderId="0" xfId="0" applyFont="1" applyFill="1"/>
    <xf numFmtId="0" fontId="15" fillId="2" borderId="0" xfId="0" applyFont="1" applyFill="1"/>
    <xf numFmtId="0" fontId="14" fillId="2" borderId="0" xfId="0" applyFont="1" applyFill="1" applyAlignment="1">
      <alignment horizontal="center" vertical="center"/>
    </xf>
    <xf numFmtId="164" fontId="0" fillId="2" borderId="0" xfId="0" applyNumberFormat="1" applyFill="1"/>
    <xf numFmtId="167" fontId="0" fillId="2" borderId="0" xfId="0" applyNumberFormat="1" applyFill="1"/>
    <xf numFmtId="0" fontId="7" fillId="2" borderId="2" xfId="3" applyFill="1"/>
    <xf numFmtId="164" fontId="7" fillId="2" borderId="2" xfId="3" applyNumberFormat="1" applyFill="1"/>
    <xf numFmtId="167" fontId="7" fillId="2" borderId="2" xfId="3" applyNumberFormat="1" applyFill="1"/>
    <xf numFmtId="0" fontId="5" fillId="2" borderId="1" xfId="1" applyFont="1" applyFill="1"/>
    <xf numFmtId="164" fontId="5" fillId="2" borderId="1" xfId="1" applyNumberFormat="1" applyFont="1" applyFill="1"/>
    <xf numFmtId="167" fontId="5" fillId="2" borderId="1" xfId="1" applyNumberFormat="1" applyFont="1" applyFill="1"/>
    <xf numFmtId="0" fontId="4" fillId="2" borderId="0" xfId="0" applyFont="1" applyFill="1"/>
    <xf numFmtId="0" fontId="18" fillId="2" borderId="8" xfId="9" applyFill="1"/>
    <xf numFmtId="0" fontId="11" fillId="9" borderId="0" xfId="0" applyFont="1" applyFill="1"/>
    <xf numFmtId="167" fontId="11" fillId="9" borderId="0" xfId="0" applyNumberFormat="1" applyFont="1" applyFill="1"/>
    <xf numFmtId="164" fontId="11" fillId="9" borderId="0" xfId="0" applyNumberFormat="1" applyFont="1" applyFill="1"/>
    <xf numFmtId="2" fontId="0" fillId="2" borderId="0" xfId="0" applyNumberFormat="1" applyFill="1"/>
    <xf numFmtId="2" fontId="11" fillId="2" borderId="0" xfId="0" applyNumberFormat="1" applyFont="1" applyFill="1"/>
    <xf numFmtId="167" fontId="11" fillId="2" borderId="0" xfId="0" applyNumberFormat="1" applyFont="1" applyFill="1"/>
    <xf numFmtId="0" fontId="19" fillId="2" borderId="0" xfId="0" applyFont="1" applyFill="1"/>
    <xf numFmtId="0" fontId="8" fillId="0" borderId="2" xfId="5"/>
    <xf numFmtId="164" fontId="11" fillId="2" borderId="0" xfId="8" applyNumberFormat="1" applyFont="1" applyFill="1"/>
    <xf numFmtId="0" fontId="11" fillId="6" borderId="0" xfId="0" applyFont="1" applyFill="1"/>
    <xf numFmtId="164" fontId="11" fillId="6" borderId="0" xfId="8" applyNumberFormat="1" applyFont="1" applyFill="1"/>
    <xf numFmtId="164" fontId="11" fillId="6" borderId="0" xfId="0" applyNumberFormat="1" applyFont="1" applyFill="1"/>
    <xf numFmtId="167" fontId="8" fillId="0" borderId="2" xfId="5" applyNumberFormat="1"/>
    <xf numFmtId="164" fontId="11" fillId="2" borderId="0" xfId="0" applyNumberFormat="1" applyFont="1" applyFill="1"/>
    <xf numFmtId="0" fontId="11" fillId="8" borderId="0" xfId="0" applyFont="1" applyFill="1"/>
    <xf numFmtId="9" fontId="11" fillId="2" borderId="0" xfId="0" applyNumberFormat="1" applyFont="1" applyFill="1"/>
    <xf numFmtId="0" fontId="17" fillId="5" borderId="9" xfId="10" applyFont="1"/>
    <xf numFmtId="0" fontId="0" fillId="10" borderId="0" xfId="0" applyFill="1"/>
    <xf numFmtId="0" fontId="5" fillId="10" borderId="0" xfId="0" applyFont="1" applyFill="1"/>
    <xf numFmtId="0" fontId="4" fillId="10" borderId="0" xfId="0" applyFont="1" applyFill="1"/>
    <xf numFmtId="9" fontId="0" fillId="10" borderId="0" xfId="0" applyNumberFormat="1" applyFill="1"/>
    <xf numFmtId="0" fontId="0" fillId="11" borderId="0" xfId="0" applyFill="1"/>
    <xf numFmtId="9" fontId="16" fillId="10" borderId="0" xfId="0" applyNumberFormat="1" applyFont="1" applyFill="1"/>
    <xf numFmtId="0" fontId="16" fillId="10" borderId="0" xfId="0" applyFont="1" applyFill="1"/>
    <xf numFmtId="0" fontId="8" fillId="2" borderId="0" xfId="0" applyFont="1" applyFill="1"/>
    <xf numFmtId="0" fontId="8" fillId="0" borderId="2" xfId="5" applyFont="1"/>
    <xf numFmtId="0" fontId="8" fillId="3" borderId="0" xfId="2" applyFont="1" applyBorder="1"/>
    <xf numFmtId="0" fontId="8" fillId="2" borderId="1" xfId="1" applyFont="1" applyFill="1"/>
    <xf numFmtId="2" fontId="8" fillId="0" borderId="2" xfId="5" applyNumberFormat="1" applyFont="1"/>
    <xf numFmtId="2" fontId="8" fillId="2" borderId="1" xfId="1" applyNumberFormat="1" applyFont="1" applyFill="1"/>
  </cellXfs>
  <cellStyles count="11">
    <cellStyle name="60% - Accent1" xfId="2" builtinId="32"/>
    <cellStyle name="Calculation" xfId="7" builtinId="22"/>
    <cellStyle name="Comma 2" xfId="6" xr:uid="{74E9CF43-24E1-4C34-AF40-80EF12E01DEC}"/>
    <cellStyle name="Heading 2" xfId="9" builtinId="17"/>
    <cellStyle name="Normal" xfId="0" builtinId="0"/>
    <cellStyle name="Percent" xfId="8" builtinId="5"/>
    <cellStyle name="Style 1" xfId="3" xr:uid="{4D32193A-5744-48C8-ADDA-8F678C5FCE51}"/>
    <cellStyle name="Style 2" xfId="4" xr:uid="{0AB0AFD6-1570-430C-97D1-7CB7E6C49FAD}"/>
    <cellStyle name="Style 3" xfId="5" xr:uid="{ED7C1351-0940-4AEE-A3A0-FAA5248015BF}"/>
    <cellStyle name="Style 4" xfId="10" xr:uid="{6DC723F1-5704-48A6-AC88-E92CD27C65D2}"/>
    <cellStyle name="Total" xfId="1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BE3F2-0CBE-4116-AE8B-6B93A0B8FA58}">
  <dimension ref="B2:D437"/>
  <sheetViews>
    <sheetView workbookViewId="0">
      <selection activeCell="C18" sqref="C18"/>
    </sheetView>
  </sheetViews>
  <sheetFormatPr defaultRowHeight="14.5" x14ac:dyDescent="0.35"/>
  <sheetData>
    <row r="2" spans="2:4" x14ac:dyDescent="0.35">
      <c r="B2" t="s">
        <v>5</v>
      </c>
      <c r="C2" t="s">
        <v>0</v>
      </c>
      <c r="D2" s="3" t="s">
        <v>1</v>
      </c>
    </row>
    <row r="3" spans="2:4" x14ac:dyDescent="0.35">
      <c r="B3" s="2" t="s">
        <v>13</v>
      </c>
      <c r="C3" s="1" t="s">
        <v>2</v>
      </c>
      <c r="D3" s="3">
        <v>72</v>
      </c>
    </row>
    <row r="4" spans="2:4" x14ac:dyDescent="0.35">
      <c r="B4" s="2" t="s">
        <v>13</v>
      </c>
      <c r="C4" s="1" t="s">
        <v>7</v>
      </c>
      <c r="D4" s="3">
        <v>47</v>
      </c>
    </row>
    <row r="5" spans="2:4" x14ac:dyDescent="0.35">
      <c r="B5" s="2" t="s">
        <v>13</v>
      </c>
      <c r="C5" s="1" t="s">
        <v>4</v>
      </c>
      <c r="D5" s="3">
        <v>37</v>
      </c>
    </row>
    <row r="6" spans="2:4" x14ac:dyDescent="0.35">
      <c r="B6" s="2" t="s">
        <v>13</v>
      </c>
      <c r="C6" s="1" t="s">
        <v>9</v>
      </c>
      <c r="D6" s="3">
        <v>20</v>
      </c>
    </row>
    <row r="7" spans="2:4" x14ac:dyDescent="0.35">
      <c r="B7" s="2" t="s">
        <v>13</v>
      </c>
      <c r="C7" s="1" t="s">
        <v>3</v>
      </c>
      <c r="D7" s="3">
        <v>36</v>
      </c>
    </row>
    <row r="8" spans="2:4" x14ac:dyDescent="0.35">
      <c r="B8" s="2" t="s">
        <v>13</v>
      </c>
      <c r="C8" s="1" t="s">
        <v>10</v>
      </c>
      <c r="D8" s="3">
        <v>17</v>
      </c>
    </row>
    <row r="9" spans="2:4" x14ac:dyDescent="0.35">
      <c r="B9" s="2" t="s">
        <v>13</v>
      </c>
      <c r="C9" s="1" t="s">
        <v>6</v>
      </c>
      <c r="D9" s="3">
        <v>57</v>
      </c>
    </row>
    <row r="10" spans="2:4" x14ac:dyDescent="0.35">
      <c r="B10" s="2" t="s">
        <v>13</v>
      </c>
      <c r="C10" s="1" t="s">
        <v>11</v>
      </c>
      <c r="D10" s="3">
        <v>32</v>
      </c>
    </row>
    <row r="11" spans="2:4" x14ac:dyDescent="0.35">
      <c r="B11" s="2" t="s">
        <v>13</v>
      </c>
      <c r="C11" s="1" t="s">
        <v>8</v>
      </c>
      <c r="D11" s="3">
        <v>95.399999999999991</v>
      </c>
    </row>
    <row r="12" spans="2:4" x14ac:dyDescent="0.35">
      <c r="B12" s="2" t="s">
        <v>13</v>
      </c>
      <c r="C12" s="1" t="s">
        <v>12</v>
      </c>
      <c r="D12" s="3">
        <v>2</v>
      </c>
    </row>
    <row r="13" spans="2:4" x14ac:dyDescent="0.35">
      <c r="B13" s="2" t="s">
        <v>13</v>
      </c>
      <c r="C13" s="1" t="s">
        <v>49</v>
      </c>
      <c r="D13" s="3">
        <v>5</v>
      </c>
    </row>
    <row r="14" spans="2:4" x14ac:dyDescent="0.35">
      <c r="B14" s="2" t="s">
        <v>13</v>
      </c>
      <c r="C14" s="1" t="s">
        <v>50</v>
      </c>
      <c r="D14" s="4">
        <v>17.29</v>
      </c>
    </row>
    <row r="15" spans="2:4" x14ac:dyDescent="0.35">
      <c r="B15" s="2" t="s">
        <v>14</v>
      </c>
      <c r="C15" s="1" t="s">
        <v>2</v>
      </c>
      <c r="D15" s="3">
        <v>75</v>
      </c>
    </row>
    <row r="16" spans="2:4" x14ac:dyDescent="0.35">
      <c r="B16" s="2" t="s">
        <v>14</v>
      </c>
      <c r="C16" s="1" t="s">
        <v>7</v>
      </c>
      <c r="D16" s="3">
        <v>55</v>
      </c>
    </row>
    <row r="17" spans="2:4" x14ac:dyDescent="0.35">
      <c r="B17" s="2" t="s">
        <v>14</v>
      </c>
      <c r="C17" s="1" t="s">
        <v>4</v>
      </c>
      <c r="D17" s="3">
        <v>26</v>
      </c>
    </row>
    <row r="18" spans="2:4" x14ac:dyDescent="0.35">
      <c r="B18" s="2" t="s">
        <v>14</v>
      </c>
      <c r="C18" s="1" t="s">
        <v>9</v>
      </c>
      <c r="D18" s="3">
        <v>18</v>
      </c>
    </row>
    <row r="19" spans="2:4" x14ac:dyDescent="0.35">
      <c r="B19" s="2" t="s">
        <v>14</v>
      </c>
      <c r="C19" s="1" t="s">
        <v>3</v>
      </c>
      <c r="D19" s="3">
        <v>42</v>
      </c>
    </row>
    <row r="20" spans="2:4" x14ac:dyDescent="0.35">
      <c r="B20" s="2" t="s">
        <v>14</v>
      </c>
      <c r="C20" s="1" t="s">
        <v>10</v>
      </c>
      <c r="D20" s="3">
        <v>18</v>
      </c>
    </row>
    <row r="21" spans="2:4" x14ac:dyDescent="0.35">
      <c r="B21" s="2" t="s">
        <v>14</v>
      </c>
      <c r="C21" s="1" t="s">
        <v>6</v>
      </c>
      <c r="D21" s="3">
        <v>54</v>
      </c>
    </row>
    <row r="22" spans="2:4" x14ac:dyDescent="0.35">
      <c r="B22" s="2" t="s">
        <v>14</v>
      </c>
      <c r="C22" s="1" t="s">
        <v>11</v>
      </c>
      <c r="D22" s="3">
        <v>33</v>
      </c>
    </row>
    <row r="23" spans="2:4" x14ac:dyDescent="0.35">
      <c r="B23" s="2" t="s">
        <v>14</v>
      </c>
      <c r="C23" s="1" t="s">
        <v>8</v>
      </c>
      <c r="D23" s="3">
        <v>96.3</v>
      </c>
    </row>
    <row r="24" spans="2:4" x14ac:dyDescent="0.35">
      <c r="B24" s="2" t="s">
        <v>14</v>
      </c>
      <c r="C24" s="1" t="s">
        <v>12</v>
      </c>
      <c r="D24" s="3">
        <v>2</v>
      </c>
    </row>
    <row r="25" spans="2:4" x14ac:dyDescent="0.35">
      <c r="B25" s="2" t="s">
        <v>14</v>
      </c>
      <c r="C25" s="1" t="s">
        <v>49</v>
      </c>
      <c r="D25" s="3">
        <v>5</v>
      </c>
    </row>
    <row r="26" spans="2:4" x14ac:dyDescent="0.35">
      <c r="B26" s="2" t="s">
        <v>14</v>
      </c>
      <c r="C26" s="1" t="s">
        <v>50</v>
      </c>
      <c r="D26" s="4">
        <v>17</v>
      </c>
    </row>
    <row r="27" spans="2:4" x14ac:dyDescent="0.35">
      <c r="B27" s="2" t="s">
        <v>15</v>
      </c>
      <c r="C27" s="1" t="s">
        <v>2</v>
      </c>
      <c r="D27" s="3">
        <v>69</v>
      </c>
    </row>
    <row r="28" spans="2:4" x14ac:dyDescent="0.35">
      <c r="B28" s="2" t="s">
        <v>15</v>
      </c>
      <c r="C28" s="1" t="s">
        <v>7</v>
      </c>
      <c r="D28" s="3">
        <v>58</v>
      </c>
    </row>
    <row r="29" spans="2:4" x14ac:dyDescent="0.35">
      <c r="B29" s="2" t="s">
        <v>15</v>
      </c>
      <c r="C29" s="1" t="s">
        <v>4</v>
      </c>
      <c r="D29" s="3">
        <v>32</v>
      </c>
    </row>
    <row r="30" spans="2:4" x14ac:dyDescent="0.35">
      <c r="B30" s="2" t="s">
        <v>15</v>
      </c>
      <c r="C30" s="1" t="s">
        <v>9</v>
      </c>
      <c r="D30" s="3">
        <v>12</v>
      </c>
    </row>
    <row r="31" spans="2:4" x14ac:dyDescent="0.35">
      <c r="B31" s="2" t="s">
        <v>15</v>
      </c>
      <c r="C31" s="1" t="s">
        <v>3</v>
      </c>
      <c r="D31" s="3">
        <v>41</v>
      </c>
    </row>
    <row r="32" spans="2:4" x14ac:dyDescent="0.35">
      <c r="B32" s="2" t="s">
        <v>15</v>
      </c>
      <c r="C32" s="1" t="s">
        <v>10</v>
      </c>
      <c r="D32" s="3">
        <v>11</v>
      </c>
    </row>
    <row r="33" spans="2:4" x14ac:dyDescent="0.35">
      <c r="B33" s="2" t="s">
        <v>15</v>
      </c>
      <c r="C33" s="1" t="s">
        <v>6</v>
      </c>
      <c r="D33" s="3">
        <v>64</v>
      </c>
    </row>
    <row r="34" spans="2:4" x14ac:dyDescent="0.35">
      <c r="B34" s="2" t="s">
        <v>15</v>
      </c>
      <c r="C34" s="1" t="s">
        <v>11</v>
      </c>
      <c r="D34" s="3">
        <v>35</v>
      </c>
    </row>
    <row r="35" spans="2:4" x14ac:dyDescent="0.35">
      <c r="B35" s="2" t="s">
        <v>15</v>
      </c>
      <c r="C35" s="1" t="s">
        <v>8</v>
      </c>
      <c r="D35" s="3">
        <v>96.6</v>
      </c>
    </row>
    <row r="36" spans="2:4" x14ac:dyDescent="0.35">
      <c r="B36" s="2" t="s">
        <v>15</v>
      </c>
      <c r="C36" s="1" t="s">
        <v>12</v>
      </c>
      <c r="D36" s="3">
        <v>3</v>
      </c>
    </row>
    <row r="37" spans="2:4" x14ac:dyDescent="0.35">
      <c r="B37" s="2" t="s">
        <v>15</v>
      </c>
      <c r="C37" s="1" t="s">
        <v>49</v>
      </c>
      <c r="D37" s="3">
        <v>5</v>
      </c>
    </row>
    <row r="38" spans="2:4" x14ac:dyDescent="0.35">
      <c r="B38" s="2" t="s">
        <v>15</v>
      </c>
      <c r="C38" s="1" t="s">
        <v>50</v>
      </c>
      <c r="D38" s="4">
        <v>17.850000000000001</v>
      </c>
    </row>
    <row r="39" spans="2:4" x14ac:dyDescent="0.35">
      <c r="B39" s="2" t="s">
        <v>16</v>
      </c>
      <c r="C39" s="1" t="s">
        <v>2</v>
      </c>
      <c r="D39" s="3">
        <v>68</v>
      </c>
    </row>
    <row r="40" spans="2:4" x14ac:dyDescent="0.35">
      <c r="B40" s="2" t="s">
        <v>16</v>
      </c>
      <c r="C40" s="1" t="s">
        <v>7</v>
      </c>
      <c r="D40" s="3">
        <v>50</v>
      </c>
    </row>
    <row r="41" spans="2:4" x14ac:dyDescent="0.35">
      <c r="B41" s="2" t="s">
        <v>16</v>
      </c>
      <c r="C41" s="1" t="s">
        <v>4</v>
      </c>
      <c r="D41" s="3">
        <v>29</v>
      </c>
    </row>
    <row r="42" spans="2:4" x14ac:dyDescent="0.35">
      <c r="B42" s="2" t="s">
        <v>16</v>
      </c>
      <c r="C42" s="1" t="s">
        <v>9</v>
      </c>
      <c r="D42" s="3">
        <v>19</v>
      </c>
    </row>
    <row r="43" spans="2:4" x14ac:dyDescent="0.35">
      <c r="B43" s="2" t="s">
        <v>16</v>
      </c>
      <c r="C43" s="1" t="s">
        <v>3</v>
      </c>
      <c r="D43" s="3">
        <v>38</v>
      </c>
    </row>
    <row r="44" spans="2:4" x14ac:dyDescent="0.35">
      <c r="B44" s="2" t="s">
        <v>16</v>
      </c>
      <c r="C44" s="1" t="s">
        <v>10</v>
      </c>
      <c r="D44" s="3">
        <v>15</v>
      </c>
    </row>
    <row r="45" spans="2:4" x14ac:dyDescent="0.35">
      <c r="B45" s="2" t="s">
        <v>16</v>
      </c>
      <c r="C45" s="1" t="s">
        <v>6</v>
      </c>
      <c r="D45" s="3">
        <v>60</v>
      </c>
    </row>
    <row r="46" spans="2:4" x14ac:dyDescent="0.35">
      <c r="B46" s="2" t="s">
        <v>16</v>
      </c>
      <c r="C46" s="1" t="s">
        <v>11</v>
      </c>
      <c r="D46" s="3">
        <v>32</v>
      </c>
    </row>
    <row r="47" spans="2:4" x14ac:dyDescent="0.35">
      <c r="B47" s="2" t="s">
        <v>16</v>
      </c>
      <c r="C47" s="1" t="s">
        <v>8</v>
      </c>
      <c r="D47" s="3">
        <v>99.52</v>
      </c>
    </row>
    <row r="48" spans="2:4" x14ac:dyDescent="0.35">
      <c r="B48" s="2" t="s">
        <v>16</v>
      </c>
      <c r="C48" s="1" t="s">
        <v>12</v>
      </c>
      <c r="D48" s="3">
        <v>2</v>
      </c>
    </row>
    <row r="49" spans="2:4" x14ac:dyDescent="0.35">
      <c r="B49" s="2" t="s">
        <v>16</v>
      </c>
      <c r="C49" s="1" t="s">
        <v>49</v>
      </c>
      <c r="D49" s="3">
        <v>5</v>
      </c>
    </row>
    <row r="50" spans="2:4" x14ac:dyDescent="0.35">
      <c r="B50" s="2" t="s">
        <v>16</v>
      </c>
      <c r="C50" s="1" t="s">
        <v>50</v>
      </c>
      <c r="D50" s="4">
        <v>16.89</v>
      </c>
    </row>
    <row r="51" spans="2:4" x14ac:dyDescent="0.35">
      <c r="B51" s="2" t="s">
        <v>17</v>
      </c>
      <c r="C51" s="1" t="s">
        <v>2</v>
      </c>
      <c r="D51" s="3">
        <v>68</v>
      </c>
    </row>
    <row r="52" spans="2:4" x14ac:dyDescent="0.35">
      <c r="B52" s="2" t="s">
        <v>17</v>
      </c>
      <c r="C52" s="1" t="s">
        <v>7</v>
      </c>
      <c r="D52" s="3">
        <v>54</v>
      </c>
    </row>
    <row r="53" spans="2:4" x14ac:dyDescent="0.35">
      <c r="B53" s="2" t="s">
        <v>17</v>
      </c>
      <c r="C53" s="1" t="s">
        <v>4</v>
      </c>
      <c r="D53" s="3">
        <v>32</v>
      </c>
    </row>
    <row r="54" spans="2:4" x14ac:dyDescent="0.35">
      <c r="B54" s="2" t="s">
        <v>17</v>
      </c>
      <c r="C54" s="1" t="s">
        <v>9</v>
      </c>
      <c r="D54" s="3">
        <v>19</v>
      </c>
    </row>
    <row r="55" spans="2:4" x14ac:dyDescent="0.35">
      <c r="B55" s="2" t="s">
        <v>17</v>
      </c>
      <c r="C55" s="1" t="s">
        <v>3</v>
      </c>
      <c r="D55" s="3">
        <v>50</v>
      </c>
    </row>
    <row r="56" spans="2:4" x14ac:dyDescent="0.35">
      <c r="B56" s="2" t="s">
        <v>17</v>
      </c>
      <c r="C56" s="1" t="s">
        <v>10</v>
      </c>
      <c r="D56" s="3">
        <v>14</v>
      </c>
    </row>
    <row r="57" spans="2:4" x14ac:dyDescent="0.35">
      <c r="B57" s="2" t="s">
        <v>17</v>
      </c>
      <c r="C57" s="1" t="s">
        <v>6</v>
      </c>
      <c r="D57" s="3">
        <v>64</v>
      </c>
    </row>
    <row r="58" spans="2:4" x14ac:dyDescent="0.35">
      <c r="B58" s="2" t="s">
        <v>17</v>
      </c>
      <c r="C58" s="1" t="s">
        <v>11</v>
      </c>
      <c r="D58" s="3">
        <v>30</v>
      </c>
    </row>
    <row r="59" spans="2:4" x14ac:dyDescent="0.35">
      <c r="B59" s="2" t="s">
        <v>17</v>
      </c>
      <c r="C59" s="1" t="s">
        <v>8</v>
      </c>
      <c r="D59" s="3">
        <v>105.92</v>
      </c>
    </row>
    <row r="60" spans="2:4" x14ac:dyDescent="0.35">
      <c r="B60" s="2" t="s">
        <v>17</v>
      </c>
      <c r="C60" s="1" t="s">
        <v>12</v>
      </c>
      <c r="D60" s="3">
        <v>3</v>
      </c>
    </row>
    <row r="61" spans="2:4" x14ac:dyDescent="0.35">
      <c r="B61" s="2" t="s">
        <v>17</v>
      </c>
      <c r="C61" s="1" t="s">
        <v>49</v>
      </c>
      <c r="D61" s="3">
        <v>5</v>
      </c>
    </row>
    <row r="62" spans="2:4" x14ac:dyDescent="0.35">
      <c r="B62" s="2" t="s">
        <v>17</v>
      </c>
      <c r="C62" s="1" t="s">
        <v>50</v>
      </c>
      <c r="D62" s="4">
        <v>18.579999999999998</v>
      </c>
    </row>
    <row r="63" spans="2:4" x14ac:dyDescent="0.35">
      <c r="B63" s="2" t="s">
        <v>18</v>
      </c>
      <c r="C63" s="1" t="s">
        <v>2</v>
      </c>
      <c r="D63" s="3">
        <v>56</v>
      </c>
    </row>
    <row r="64" spans="2:4" x14ac:dyDescent="0.35">
      <c r="B64" s="2" t="s">
        <v>18</v>
      </c>
      <c r="C64" s="1" t="s">
        <v>7</v>
      </c>
      <c r="D64" s="3">
        <v>49</v>
      </c>
    </row>
    <row r="65" spans="2:4" x14ac:dyDescent="0.35">
      <c r="B65" s="2" t="s">
        <v>18</v>
      </c>
      <c r="C65" s="1" t="s">
        <v>4</v>
      </c>
      <c r="D65" s="3">
        <v>31</v>
      </c>
    </row>
    <row r="66" spans="2:4" x14ac:dyDescent="0.35">
      <c r="B66" s="2" t="s">
        <v>18</v>
      </c>
      <c r="C66" s="1" t="s">
        <v>9</v>
      </c>
      <c r="D66" s="3">
        <v>14</v>
      </c>
    </row>
    <row r="67" spans="2:4" x14ac:dyDescent="0.35">
      <c r="B67" s="2" t="s">
        <v>18</v>
      </c>
      <c r="C67" s="1" t="s">
        <v>3</v>
      </c>
      <c r="D67" s="3">
        <v>36</v>
      </c>
    </row>
    <row r="68" spans="2:4" x14ac:dyDescent="0.35">
      <c r="B68" s="2" t="s">
        <v>18</v>
      </c>
      <c r="C68" s="1" t="s">
        <v>10</v>
      </c>
      <c r="D68" s="3">
        <v>15</v>
      </c>
    </row>
    <row r="69" spans="2:4" x14ac:dyDescent="0.35">
      <c r="B69" s="2" t="s">
        <v>18</v>
      </c>
      <c r="C69" s="1" t="s">
        <v>6</v>
      </c>
      <c r="D69" s="3">
        <v>57</v>
      </c>
    </row>
    <row r="70" spans="2:4" x14ac:dyDescent="0.35">
      <c r="B70" s="2" t="s">
        <v>18</v>
      </c>
      <c r="C70" s="1" t="s">
        <v>11</v>
      </c>
      <c r="D70" s="3">
        <v>33</v>
      </c>
    </row>
    <row r="71" spans="2:4" x14ac:dyDescent="0.35">
      <c r="B71" s="2" t="s">
        <v>18</v>
      </c>
      <c r="C71" s="1" t="s">
        <v>8</v>
      </c>
      <c r="D71" s="3">
        <v>93.12</v>
      </c>
    </row>
    <row r="72" spans="2:4" x14ac:dyDescent="0.35">
      <c r="B72" s="2" t="s">
        <v>18</v>
      </c>
      <c r="C72" s="1" t="s">
        <v>12</v>
      </c>
      <c r="D72" s="3">
        <v>3</v>
      </c>
    </row>
    <row r="73" spans="2:4" x14ac:dyDescent="0.35">
      <c r="B73" s="2" t="s">
        <v>18</v>
      </c>
      <c r="C73" s="1" t="s">
        <v>49</v>
      </c>
      <c r="D73" s="3">
        <v>4</v>
      </c>
    </row>
    <row r="74" spans="2:4" x14ac:dyDescent="0.35">
      <c r="B74" s="2" t="s">
        <v>18</v>
      </c>
      <c r="C74" s="1" t="s">
        <v>50</v>
      </c>
      <c r="D74" s="4">
        <v>15.59</v>
      </c>
    </row>
    <row r="75" spans="2:4" x14ac:dyDescent="0.35">
      <c r="B75" s="2" t="s">
        <v>19</v>
      </c>
      <c r="C75" s="1" t="s">
        <v>2</v>
      </c>
      <c r="D75" s="3">
        <v>66</v>
      </c>
    </row>
    <row r="76" spans="2:4" x14ac:dyDescent="0.35">
      <c r="B76" s="2" t="s">
        <v>19</v>
      </c>
      <c r="C76" s="1" t="s">
        <v>7</v>
      </c>
      <c r="D76" s="3">
        <v>55</v>
      </c>
    </row>
    <row r="77" spans="2:4" x14ac:dyDescent="0.35">
      <c r="B77" s="2" t="s">
        <v>19</v>
      </c>
      <c r="C77" s="1" t="s">
        <v>4</v>
      </c>
      <c r="D77" s="3">
        <v>38</v>
      </c>
    </row>
    <row r="78" spans="2:4" x14ac:dyDescent="0.35">
      <c r="B78" s="2" t="s">
        <v>19</v>
      </c>
      <c r="C78" s="1" t="s">
        <v>9</v>
      </c>
      <c r="D78" s="3">
        <v>17</v>
      </c>
    </row>
    <row r="79" spans="2:4" x14ac:dyDescent="0.35">
      <c r="B79" s="2" t="s">
        <v>19</v>
      </c>
      <c r="C79" s="1" t="s">
        <v>3</v>
      </c>
      <c r="D79" s="3">
        <v>43</v>
      </c>
    </row>
    <row r="80" spans="2:4" x14ac:dyDescent="0.35">
      <c r="B80" s="2" t="s">
        <v>19</v>
      </c>
      <c r="C80" s="1" t="s">
        <v>10</v>
      </c>
      <c r="D80" s="3">
        <v>17</v>
      </c>
    </row>
    <row r="81" spans="2:4" x14ac:dyDescent="0.35">
      <c r="B81" s="2" t="s">
        <v>19</v>
      </c>
      <c r="C81" s="1" t="s">
        <v>6</v>
      </c>
      <c r="D81" s="3">
        <v>68</v>
      </c>
    </row>
    <row r="82" spans="2:4" x14ac:dyDescent="0.35">
      <c r="B82" s="2" t="s">
        <v>19</v>
      </c>
      <c r="C82" s="1" t="s">
        <v>11</v>
      </c>
      <c r="D82" s="3">
        <v>33</v>
      </c>
    </row>
    <row r="83" spans="2:4" x14ac:dyDescent="0.35">
      <c r="B83" s="2" t="s">
        <v>19</v>
      </c>
      <c r="C83" s="1" t="s">
        <v>8</v>
      </c>
      <c r="D83" s="3">
        <v>114.58000000000001</v>
      </c>
    </row>
    <row r="84" spans="2:4" x14ac:dyDescent="0.35">
      <c r="B84" s="2" t="s">
        <v>19</v>
      </c>
      <c r="C84" s="1" t="s">
        <v>12</v>
      </c>
      <c r="D84" s="3">
        <v>3</v>
      </c>
    </row>
    <row r="85" spans="2:4" x14ac:dyDescent="0.35">
      <c r="B85" s="2" t="s">
        <v>19</v>
      </c>
      <c r="C85" s="1" t="s">
        <v>49</v>
      </c>
      <c r="D85" s="3">
        <v>4</v>
      </c>
    </row>
    <row r="86" spans="2:4" x14ac:dyDescent="0.35">
      <c r="B86" s="2" t="s">
        <v>19</v>
      </c>
      <c r="C86" s="1" t="s">
        <v>50</v>
      </c>
      <c r="D86" s="4">
        <v>18.61</v>
      </c>
    </row>
    <row r="87" spans="2:4" x14ac:dyDescent="0.35">
      <c r="B87" s="2" t="s">
        <v>20</v>
      </c>
      <c r="C87" s="1" t="s">
        <v>2</v>
      </c>
      <c r="D87" s="3">
        <v>57</v>
      </c>
    </row>
    <row r="88" spans="2:4" x14ac:dyDescent="0.35">
      <c r="B88" s="2" t="s">
        <v>20</v>
      </c>
      <c r="C88" s="1" t="s">
        <v>7</v>
      </c>
      <c r="D88" s="3">
        <v>52</v>
      </c>
    </row>
    <row r="89" spans="2:4" x14ac:dyDescent="0.35">
      <c r="B89" s="2" t="s">
        <v>20</v>
      </c>
      <c r="C89" s="1" t="s">
        <v>4</v>
      </c>
      <c r="D89" s="3">
        <v>35</v>
      </c>
    </row>
    <row r="90" spans="2:4" x14ac:dyDescent="0.35">
      <c r="B90" s="2" t="s">
        <v>20</v>
      </c>
      <c r="C90" s="1" t="s">
        <v>9</v>
      </c>
      <c r="D90" s="3">
        <v>19</v>
      </c>
    </row>
    <row r="91" spans="2:4" x14ac:dyDescent="0.35">
      <c r="B91" s="2" t="s">
        <v>20</v>
      </c>
      <c r="C91" s="1" t="s">
        <v>3</v>
      </c>
      <c r="D91" s="3">
        <v>38</v>
      </c>
    </row>
    <row r="92" spans="2:4" x14ac:dyDescent="0.35">
      <c r="B92" s="2" t="s">
        <v>20</v>
      </c>
      <c r="C92" s="1" t="s">
        <v>10</v>
      </c>
      <c r="D92" s="3">
        <v>16</v>
      </c>
    </row>
    <row r="93" spans="2:4" x14ac:dyDescent="0.35">
      <c r="B93" s="2" t="s">
        <v>20</v>
      </c>
      <c r="C93" s="1" t="s">
        <v>6</v>
      </c>
      <c r="D93" s="3">
        <v>57</v>
      </c>
    </row>
    <row r="94" spans="2:4" x14ac:dyDescent="0.35">
      <c r="B94" s="2" t="s">
        <v>20</v>
      </c>
      <c r="C94" s="1" t="s">
        <v>11</v>
      </c>
      <c r="D94" s="3">
        <v>33</v>
      </c>
    </row>
    <row r="95" spans="2:4" x14ac:dyDescent="0.35">
      <c r="B95" s="2" t="s">
        <v>20</v>
      </c>
      <c r="C95" s="1" t="s">
        <v>8</v>
      </c>
      <c r="D95" s="3">
        <v>104.38000000000001</v>
      </c>
    </row>
    <row r="96" spans="2:4" x14ac:dyDescent="0.35">
      <c r="B96" s="2" t="s">
        <v>20</v>
      </c>
      <c r="C96" s="1" t="s">
        <v>12</v>
      </c>
      <c r="D96" s="3">
        <v>3</v>
      </c>
    </row>
    <row r="97" spans="2:4" x14ac:dyDescent="0.35">
      <c r="B97" s="2" t="s">
        <v>20</v>
      </c>
      <c r="C97" s="1" t="s">
        <v>49</v>
      </c>
      <c r="D97" s="3">
        <v>5</v>
      </c>
    </row>
    <row r="98" spans="2:4" x14ac:dyDescent="0.35">
      <c r="B98" s="2" t="s">
        <v>20</v>
      </c>
      <c r="C98" s="1" t="s">
        <v>50</v>
      </c>
      <c r="D98" s="4">
        <v>16.13</v>
      </c>
    </row>
    <row r="99" spans="2:4" x14ac:dyDescent="0.35">
      <c r="B99" s="2" t="s">
        <v>21</v>
      </c>
      <c r="C99" s="1" t="s">
        <v>2</v>
      </c>
      <c r="D99" s="3">
        <v>60</v>
      </c>
    </row>
    <row r="100" spans="2:4" x14ac:dyDescent="0.35">
      <c r="B100" s="2" t="s">
        <v>21</v>
      </c>
      <c r="C100" s="1" t="s">
        <v>7</v>
      </c>
      <c r="D100" s="3">
        <v>57</v>
      </c>
    </row>
    <row r="101" spans="2:4" x14ac:dyDescent="0.35">
      <c r="B101" s="2" t="s">
        <v>21</v>
      </c>
      <c r="C101" s="1" t="s">
        <v>4</v>
      </c>
      <c r="D101" s="3">
        <v>28</v>
      </c>
    </row>
    <row r="102" spans="2:4" x14ac:dyDescent="0.35">
      <c r="B102" s="2" t="s">
        <v>21</v>
      </c>
      <c r="C102" s="1" t="s">
        <v>9</v>
      </c>
      <c r="D102" s="3">
        <v>11</v>
      </c>
    </row>
    <row r="103" spans="2:4" x14ac:dyDescent="0.35">
      <c r="B103" s="2" t="s">
        <v>21</v>
      </c>
      <c r="C103" s="1" t="s">
        <v>3</v>
      </c>
      <c r="D103" s="3">
        <v>44</v>
      </c>
    </row>
    <row r="104" spans="2:4" x14ac:dyDescent="0.35">
      <c r="B104" s="2" t="s">
        <v>21</v>
      </c>
      <c r="C104" s="1" t="s">
        <v>10</v>
      </c>
      <c r="D104" s="3">
        <v>12</v>
      </c>
    </row>
    <row r="105" spans="2:4" x14ac:dyDescent="0.35">
      <c r="B105" s="2" t="s">
        <v>21</v>
      </c>
      <c r="C105" s="1" t="s">
        <v>6</v>
      </c>
      <c r="D105" s="3">
        <v>67</v>
      </c>
    </row>
    <row r="106" spans="2:4" x14ac:dyDescent="0.35">
      <c r="B106" s="2" t="s">
        <v>21</v>
      </c>
      <c r="C106" s="1" t="s">
        <v>11</v>
      </c>
      <c r="D106" s="3">
        <v>31</v>
      </c>
    </row>
    <row r="107" spans="2:4" x14ac:dyDescent="0.35">
      <c r="B107" s="2" t="s">
        <v>21</v>
      </c>
      <c r="C107" s="1" t="s">
        <v>8</v>
      </c>
      <c r="D107" s="3">
        <v>108.5</v>
      </c>
    </row>
    <row r="108" spans="2:4" x14ac:dyDescent="0.35">
      <c r="B108" s="2" t="s">
        <v>21</v>
      </c>
      <c r="C108" s="1" t="s">
        <v>12</v>
      </c>
      <c r="D108" s="3">
        <v>2</v>
      </c>
    </row>
    <row r="109" spans="2:4" x14ac:dyDescent="0.35">
      <c r="B109" s="2" t="s">
        <v>21</v>
      </c>
      <c r="C109" s="1" t="s">
        <v>49</v>
      </c>
      <c r="D109" s="3">
        <v>4</v>
      </c>
    </row>
    <row r="110" spans="2:4" x14ac:dyDescent="0.35">
      <c r="B110" s="2" t="s">
        <v>21</v>
      </c>
      <c r="C110" s="1" t="s">
        <v>50</v>
      </c>
      <c r="D110" s="4">
        <v>17.419999999999998</v>
      </c>
    </row>
    <row r="111" spans="2:4" x14ac:dyDescent="0.35">
      <c r="B111" s="2" t="s">
        <v>22</v>
      </c>
      <c r="C111" s="1" t="s">
        <v>2</v>
      </c>
      <c r="D111" s="3">
        <v>59</v>
      </c>
    </row>
    <row r="112" spans="2:4" x14ac:dyDescent="0.35">
      <c r="B112" s="2" t="s">
        <v>22</v>
      </c>
      <c r="C112" s="1" t="s">
        <v>7</v>
      </c>
      <c r="D112" s="3">
        <v>57</v>
      </c>
    </row>
    <row r="113" spans="2:4" x14ac:dyDescent="0.35">
      <c r="B113" s="2" t="s">
        <v>22</v>
      </c>
      <c r="C113" s="1" t="s">
        <v>4</v>
      </c>
      <c r="D113" s="3">
        <v>40</v>
      </c>
    </row>
    <row r="114" spans="2:4" x14ac:dyDescent="0.35">
      <c r="B114" s="2" t="s">
        <v>22</v>
      </c>
      <c r="C114" s="1" t="s">
        <v>9</v>
      </c>
      <c r="D114" s="3">
        <v>11</v>
      </c>
    </row>
    <row r="115" spans="2:4" x14ac:dyDescent="0.35">
      <c r="B115" s="2" t="s">
        <v>22</v>
      </c>
      <c r="C115" s="1" t="s">
        <v>3</v>
      </c>
      <c r="D115" s="3">
        <v>35</v>
      </c>
    </row>
    <row r="116" spans="2:4" x14ac:dyDescent="0.35">
      <c r="B116" s="2" t="s">
        <v>22</v>
      </c>
      <c r="C116" s="1" t="s">
        <v>10</v>
      </c>
      <c r="D116" s="3">
        <v>15</v>
      </c>
    </row>
    <row r="117" spans="2:4" x14ac:dyDescent="0.35">
      <c r="B117" s="2" t="s">
        <v>22</v>
      </c>
      <c r="C117" s="1" t="s">
        <v>6</v>
      </c>
      <c r="D117" s="3">
        <v>61</v>
      </c>
    </row>
    <row r="118" spans="2:4" x14ac:dyDescent="0.35">
      <c r="B118" s="2" t="s">
        <v>22</v>
      </c>
      <c r="C118" s="1" t="s">
        <v>11</v>
      </c>
      <c r="D118" s="3">
        <v>35</v>
      </c>
    </row>
    <row r="119" spans="2:4" x14ac:dyDescent="0.35">
      <c r="B119" s="2" t="s">
        <v>22</v>
      </c>
      <c r="C119" s="1" t="s">
        <v>8</v>
      </c>
      <c r="D119" s="3">
        <v>97.03</v>
      </c>
    </row>
    <row r="120" spans="2:4" x14ac:dyDescent="0.35">
      <c r="B120" s="2" t="s">
        <v>22</v>
      </c>
      <c r="C120" s="1" t="s">
        <v>12</v>
      </c>
      <c r="D120" s="3">
        <v>3</v>
      </c>
    </row>
    <row r="121" spans="2:4" x14ac:dyDescent="0.35">
      <c r="B121" s="2" t="s">
        <v>22</v>
      </c>
      <c r="C121" s="1" t="s">
        <v>49</v>
      </c>
      <c r="D121" s="3">
        <v>4</v>
      </c>
    </row>
    <row r="122" spans="2:4" x14ac:dyDescent="0.35">
      <c r="B122" s="2" t="s">
        <v>22</v>
      </c>
      <c r="C122" s="1" t="s">
        <v>50</v>
      </c>
      <c r="D122" s="4">
        <v>16.77</v>
      </c>
    </row>
    <row r="123" spans="2:4" x14ac:dyDescent="0.35">
      <c r="B123" s="2" t="s">
        <v>23</v>
      </c>
      <c r="C123" s="1" t="s">
        <v>2</v>
      </c>
      <c r="D123" s="3">
        <v>69</v>
      </c>
    </row>
    <row r="124" spans="2:4" x14ac:dyDescent="0.35">
      <c r="B124" s="2" t="s">
        <v>23</v>
      </c>
      <c r="C124" s="1" t="s">
        <v>7</v>
      </c>
      <c r="D124" s="3">
        <v>45</v>
      </c>
    </row>
    <row r="125" spans="2:4" x14ac:dyDescent="0.35">
      <c r="B125" s="2" t="s">
        <v>23</v>
      </c>
      <c r="C125" s="1" t="s">
        <v>4</v>
      </c>
      <c r="D125" s="3">
        <v>25</v>
      </c>
    </row>
    <row r="126" spans="2:4" x14ac:dyDescent="0.35">
      <c r="B126" s="2" t="s">
        <v>23</v>
      </c>
      <c r="C126" s="1" t="s">
        <v>9</v>
      </c>
      <c r="D126" s="3">
        <v>17</v>
      </c>
    </row>
    <row r="127" spans="2:4" x14ac:dyDescent="0.35">
      <c r="B127" s="2" t="s">
        <v>23</v>
      </c>
      <c r="C127" s="1" t="s">
        <v>3</v>
      </c>
      <c r="D127" s="3">
        <v>45</v>
      </c>
    </row>
    <row r="128" spans="2:4" x14ac:dyDescent="0.35">
      <c r="B128" s="2" t="s">
        <v>23</v>
      </c>
      <c r="C128" s="1" t="s">
        <v>10</v>
      </c>
      <c r="D128" s="3">
        <v>10</v>
      </c>
    </row>
    <row r="129" spans="2:4" x14ac:dyDescent="0.35">
      <c r="B129" s="2" t="s">
        <v>23</v>
      </c>
      <c r="C129" s="1" t="s">
        <v>6</v>
      </c>
      <c r="D129" s="3">
        <v>63</v>
      </c>
    </row>
    <row r="130" spans="2:4" x14ac:dyDescent="0.35">
      <c r="B130" s="2" t="s">
        <v>23</v>
      </c>
      <c r="C130" s="1" t="s">
        <v>11</v>
      </c>
      <c r="D130" s="3">
        <v>31</v>
      </c>
    </row>
    <row r="131" spans="2:4" x14ac:dyDescent="0.35">
      <c r="B131" s="2" t="s">
        <v>23</v>
      </c>
      <c r="C131" s="1" t="s">
        <v>8</v>
      </c>
      <c r="D131" s="3">
        <v>97.600000000000009</v>
      </c>
    </row>
    <row r="132" spans="2:4" x14ac:dyDescent="0.35">
      <c r="B132" s="2" t="s">
        <v>23</v>
      </c>
      <c r="C132" s="1" t="s">
        <v>12</v>
      </c>
      <c r="D132" s="3">
        <v>2</v>
      </c>
    </row>
    <row r="133" spans="2:4" x14ac:dyDescent="0.35">
      <c r="B133" s="2" t="s">
        <v>23</v>
      </c>
      <c r="C133" s="1" t="s">
        <v>49</v>
      </c>
      <c r="D133" s="3">
        <v>5</v>
      </c>
    </row>
    <row r="134" spans="2:4" x14ac:dyDescent="0.35">
      <c r="B134" s="2" t="s">
        <v>23</v>
      </c>
      <c r="C134" s="1" t="s">
        <v>50</v>
      </c>
      <c r="D134" s="4">
        <v>17.62</v>
      </c>
    </row>
    <row r="135" spans="2:4" x14ac:dyDescent="0.35">
      <c r="B135" s="2" t="s">
        <v>24</v>
      </c>
      <c r="C135" s="1" t="s">
        <v>2</v>
      </c>
      <c r="D135" s="3">
        <v>74</v>
      </c>
    </row>
    <row r="136" spans="2:4" x14ac:dyDescent="0.35">
      <c r="B136" s="2" t="s">
        <v>24</v>
      </c>
      <c r="C136" s="1" t="s">
        <v>7</v>
      </c>
      <c r="D136" s="3">
        <v>55</v>
      </c>
    </row>
    <row r="137" spans="2:4" x14ac:dyDescent="0.35">
      <c r="B137" s="2" t="s">
        <v>24</v>
      </c>
      <c r="C137" s="1" t="s">
        <v>4</v>
      </c>
      <c r="D137" s="3">
        <v>31</v>
      </c>
    </row>
    <row r="138" spans="2:4" x14ac:dyDescent="0.35">
      <c r="B138" s="2" t="s">
        <v>24</v>
      </c>
      <c r="C138" s="1" t="s">
        <v>9</v>
      </c>
      <c r="D138" s="3">
        <v>19</v>
      </c>
    </row>
    <row r="139" spans="2:4" x14ac:dyDescent="0.35">
      <c r="B139" s="2" t="s">
        <v>24</v>
      </c>
      <c r="C139" s="1" t="s">
        <v>3</v>
      </c>
      <c r="D139" s="3">
        <v>42</v>
      </c>
    </row>
    <row r="140" spans="2:4" x14ac:dyDescent="0.35">
      <c r="B140" s="2" t="s">
        <v>24</v>
      </c>
      <c r="C140" s="1" t="s">
        <v>10</v>
      </c>
      <c r="D140" s="3">
        <v>19</v>
      </c>
    </row>
    <row r="141" spans="2:4" x14ac:dyDescent="0.35">
      <c r="B141" s="2" t="s">
        <v>24</v>
      </c>
      <c r="C141" s="1" t="s">
        <v>6</v>
      </c>
      <c r="D141" s="3">
        <v>59</v>
      </c>
    </row>
    <row r="142" spans="2:4" x14ac:dyDescent="0.35">
      <c r="B142" s="2" t="s">
        <v>24</v>
      </c>
      <c r="C142" s="1" t="s">
        <v>11</v>
      </c>
      <c r="D142" s="3">
        <v>34</v>
      </c>
    </row>
    <row r="143" spans="2:4" x14ac:dyDescent="0.35">
      <c r="B143" s="2" t="s">
        <v>24</v>
      </c>
      <c r="C143" s="1" t="s">
        <v>8</v>
      </c>
      <c r="D143" s="3">
        <v>103.23</v>
      </c>
    </row>
    <row r="144" spans="2:4" x14ac:dyDescent="0.35">
      <c r="B144" s="2" t="s">
        <v>24</v>
      </c>
      <c r="C144" s="1" t="s">
        <v>12</v>
      </c>
      <c r="D144" s="3">
        <v>3</v>
      </c>
    </row>
    <row r="145" spans="2:4" x14ac:dyDescent="0.35">
      <c r="B145" s="2" t="s">
        <v>24</v>
      </c>
      <c r="C145" s="1" t="s">
        <v>49</v>
      </c>
      <c r="D145" s="3">
        <v>5</v>
      </c>
    </row>
    <row r="146" spans="2:4" x14ac:dyDescent="0.35">
      <c r="B146" s="2" t="s">
        <v>24</v>
      </c>
      <c r="C146" s="1" t="s">
        <v>50</v>
      </c>
      <c r="D146" s="4">
        <v>17.77</v>
      </c>
    </row>
    <row r="147" spans="2:4" x14ac:dyDescent="0.35">
      <c r="B147" s="2" t="s">
        <v>25</v>
      </c>
      <c r="C147" s="1" t="s">
        <v>2</v>
      </c>
      <c r="D147" s="3">
        <v>56</v>
      </c>
    </row>
    <row r="148" spans="2:4" x14ac:dyDescent="0.35">
      <c r="B148" s="2" t="s">
        <v>25</v>
      </c>
      <c r="C148" s="1" t="s">
        <v>7</v>
      </c>
      <c r="D148" s="3">
        <v>49</v>
      </c>
    </row>
    <row r="149" spans="2:4" x14ac:dyDescent="0.35">
      <c r="B149" s="2" t="s">
        <v>25</v>
      </c>
      <c r="C149" s="1" t="s">
        <v>4</v>
      </c>
      <c r="D149" s="3">
        <v>38</v>
      </c>
    </row>
    <row r="150" spans="2:4" x14ac:dyDescent="0.35">
      <c r="B150" s="2" t="s">
        <v>25</v>
      </c>
      <c r="C150" s="1" t="s">
        <v>9</v>
      </c>
      <c r="D150" s="3">
        <v>13</v>
      </c>
    </row>
    <row r="151" spans="2:4" x14ac:dyDescent="0.35">
      <c r="B151" s="2" t="s">
        <v>25</v>
      </c>
      <c r="C151" s="1" t="s">
        <v>3</v>
      </c>
      <c r="D151" s="3">
        <v>49</v>
      </c>
    </row>
    <row r="152" spans="2:4" x14ac:dyDescent="0.35">
      <c r="B152" s="2" t="s">
        <v>25</v>
      </c>
      <c r="C152" s="1" t="s">
        <v>10</v>
      </c>
      <c r="D152" s="3">
        <v>13</v>
      </c>
    </row>
    <row r="153" spans="2:4" x14ac:dyDescent="0.35">
      <c r="B153" s="2" t="s">
        <v>25</v>
      </c>
      <c r="C153" s="1" t="s">
        <v>6</v>
      </c>
      <c r="D153" s="3">
        <v>67</v>
      </c>
    </row>
    <row r="154" spans="2:4" x14ac:dyDescent="0.35">
      <c r="B154" s="2" t="s">
        <v>25</v>
      </c>
      <c r="C154" s="1" t="s">
        <v>11</v>
      </c>
      <c r="D154" s="3">
        <v>30</v>
      </c>
    </row>
    <row r="155" spans="2:4" x14ac:dyDescent="0.35">
      <c r="B155" s="2" t="s">
        <v>25</v>
      </c>
      <c r="C155" s="1" t="s">
        <v>8</v>
      </c>
      <c r="D155" s="3">
        <v>107.10000000000001</v>
      </c>
    </row>
    <row r="156" spans="2:4" x14ac:dyDescent="0.35">
      <c r="B156" s="2" t="s">
        <v>25</v>
      </c>
      <c r="C156" s="1" t="s">
        <v>12</v>
      </c>
      <c r="D156" s="3">
        <v>4</v>
      </c>
    </row>
    <row r="157" spans="2:4" x14ac:dyDescent="0.35">
      <c r="B157" s="2" t="s">
        <v>25</v>
      </c>
      <c r="C157" s="1" t="s">
        <v>49</v>
      </c>
      <c r="D157" s="3">
        <v>6</v>
      </c>
    </row>
    <row r="158" spans="2:4" x14ac:dyDescent="0.35">
      <c r="B158" s="2" t="s">
        <v>25</v>
      </c>
      <c r="C158" s="1" t="s">
        <v>50</v>
      </c>
      <c r="D158" s="4">
        <v>18.25</v>
      </c>
    </row>
    <row r="159" spans="2:4" x14ac:dyDescent="0.35">
      <c r="B159" s="2" t="s">
        <v>26</v>
      </c>
      <c r="C159" s="1" t="s">
        <v>2</v>
      </c>
      <c r="D159" s="3">
        <v>73</v>
      </c>
    </row>
    <row r="160" spans="2:4" x14ac:dyDescent="0.35">
      <c r="B160" s="2" t="s">
        <v>26</v>
      </c>
      <c r="C160" s="1" t="s">
        <v>7</v>
      </c>
      <c r="D160" s="3">
        <v>60</v>
      </c>
    </row>
    <row r="161" spans="2:4" x14ac:dyDescent="0.35">
      <c r="B161" s="2" t="s">
        <v>26</v>
      </c>
      <c r="C161" s="1" t="s">
        <v>4</v>
      </c>
      <c r="D161" s="3">
        <v>40</v>
      </c>
    </row>
    <row r="162" spans="2:4" x14ac:dyDescent="0.35">
      <c r="B162" s="2" t="s">
        <v>26</v>
      </c>
      <c r="C162" s="1" t="s">
        <v>9</v>
      </c>
      <c r="D162" s="3">
        <v>15</v>
      </c>
    </row>
    <row r="163" spans="2:4" x14ac:dyDescent="0.35">
      <c r="B163" s="2" t="s">
        <v>26</v>
      </c>
      <c r="C163" s="1" t="s">
        <v>3</v>
      </c>
      <c r="D163" s="3">
        <v>41</v>
      </c>
    </row>
    <row r="164" spans="2:4" x14ac:dyDescent="0.35">
      <c r="B164" s="2" t="s">
        <v>26</v>
      </c>
      <c r="C164" s="1" t="s">
        <v>10</v>
      </c>
      <c r="D164" s="3">
        <v>12</v>
      </c>
    </row>
    <row r="165" spans="2:4" x14ac:dyDescent="0.35">
      <c r="B165" s="2" t="s">
        <v>26</v>
      </c>
      <c r="C165" s="1" t="s">
        <v>6</v>
      </c>
      <c r="D165" s="3">
        <v>59</v>
      </c>
    </row>
    <row r="166" spans="2:4" x14ac:dyDescent="0.35">
      <c r="B166" s="2" t="s">
        <v>26</v>
      </c>
      <c r="C166" s="1" t="s">
        <v>11</v>
      </c>
      <c r="D166" s="3">
        <v>35</v>
      </c>
    </row>
    <row r="167" spans="2:4" x14ac:dyDescent="0.35">
      <c r="B167" s="2" t="s">
        <v>26</v>
      </c>
      <c r="C167" s="1" t="s">
        <v>8</v>
      </c>
      <c r="D167" s="3">
        <v>107.2</v>
      </c>
    </row>
    <row r="168" spans="2:4" x14ac:dyDescent="0.35">
      <c r="B168" s="2" t="s">
        <v>26</v>
      </c>
      <c r="C168" s="1" t="s">
        <v>12</v>
      </c>
      <c r="D168" s="3">
        <v>3</v>
      </c>
    </row>
    <row r="169" spans="2:4" x14ac:dyDescent="0.35">
      <c r="B169" s="2" t="s">
        <v>26</v>
      </c>
      <c r="C169" s="1" t="s">
        <v>49</v>
      </c>
      <c r="D169" s="3">
        <v>5</v>
      </c>
    </row>
    <row r="170" spans="2:4" x14ac:dyDescent="0.35">
      <c r="B170" s="2" t="s">
        <v>26</v>
      </c>
      <c r="C170" s="1" t="s">
        <v>50</v>
      </c>
      <c r="D170" s="4">
        <v>18.23</v>
      </c>
    </row>
    <row r="171" spans="2:4" x14ac:dyDescent="0.35">
      <c r="B171" s="2" t="s">
        <v>27</v>
      </c>
      <c r="C171" s="1" t="s">
        <v>2</v>
      </c>
      <c r="D171" s="3">
        <v>55</v>
      </c>
    </row>
    <row r="172" spans="2:4" x14ac:dyDescent="0.35">
      <c r="B172" s="2" t="s">
        <v>27</v>
      </c>
      <c r="C172" s="1" t="s">
        <v>7</v>
      </c>
      <c r="D172" s="3">
        <v>49</v>
      </c>
    </row>
    <row r="173" spans="2:4" x14ac:dyDescent="0.35">
      <c r="B173" s="2" t="s">
        <v>27</v>
      </c>
      <c r="C173" s="1" t="s">
        <v>4</v>
      </c>
      <c r="D173" s="3">
        <v>37</v>
      </c>
    </row>
    <row r="174" spans="2:4" x14ac:dyDescent="0.35">
      <c r="B174" s="2" t="s">
        <v>27</v>
      </c>
      <c r="C174" s="1" t="s">
        <v>9</v>
      </c>
      <c r="D174" s="3">
        <v>20</v>
      </c>
    </row>
    <row r="175" spans="2:4" x14ac:dyDescent="0.35">
      <c r="B175" s="2" t="s">
        <v>27</v>
      </c>
      <c r="C175" s="1" t="s">
        <v>3</v>
      </c>
      <c r="D175" s="3">
        <v>46</v>
      </c>
    </row>
    <row r="176" spans="2:4" x14ac:dyDescent="0.35">
      <c r="B176" s="2" t="s">
        <v>27</v>
      </c>
      <c r="C176" s="1" t="s">
        <v>10</v>
      </c>
      <c r="D176" s="3">
        <v>18</v>
      </c>
    </row>
    <row r="177" spans="2:4" x14ac:dyDescent="0.35">
      <c r="B177" s="2" t="s">
        <v>27</v>
      </c>
      <c r="C177" s="1" t="s">
        <v>6</v>
      </c>
      <c r="D177" s="3">
        <v>56</v>
      </c>
    </row>
    <row r="178" spans="2:4" x14ac:dyDescent="0.35">
      <c r="B178" s="2" t="s">
        <v>27</v>
      </c>
      <c r="C178" s="1" t="s">
        <v>11</v>
      </c>
      <c r="D178" s="3">
        <v>35</v>
      </c>
    </row>
    <row r="179" spans="2:4" x14ac:dyDescent="0.35">
      <c r="B179" s="2" t="s">
        <v>27</v>
      </c>
      <c r="C179" s="1" t="s">
        <v>8</v>
      </c>
      <c r="D179" s="3">
        <v>104.28</v>
      </c>
    </row>
    <row r="180" spans="2:4" x14ac:dyDescent="0.35">
      <c r="B180" s="2" t="s">
        <v>27</v>
      </c>
      <c r="C180" s="1" t="s">
        <v>12</v>
      </c>
      <c r="D180" s="3">
        <v>4</v>
      </c>
    </row>
    <row r="181" spans="2:4" x14ac:dyDescent="0.35">
      <c r="B181" s="2" t="s">
        <v>27</v>
      </c>
      <c r="C181" s="1" t="s">
        <v>49</v>
      </c>
      <c r="D181" s="3">
        <v>6</v>
      </c>
    </row>
    <row r="182" spans="2:4" x14ac:dyDescent="0.35">
      <c r="B182" s="2" t="s">
        <v>27</v>
      </c>
      <c r="C182" s="1" t="s">
        <v>50</v>
      </c>
      <c r="D182" s="4">
        <v>16.73</v>
      </c>
    </row>
    <row r="183" spans="2:4" x14ac:dyDescent="0.35">
      <c r="B183" s="2" t="s">
        <v>28</v>
      </c>
      <c r="C183" s="1" t="s">
        <v>2</v>
      </c>
      <c r="D183" s="3">
        <v>56</v>
      </c>
    </row>
    <row r="184" spans="2:4" x14ac:dyDescent="0.35">
      <c r="B184" s="2" t="s">
        <v>28</v>
      </c>
      <c r="C184" s="1" t="s">
        <v>7</v>
      </c>
      <c r="D184" s="3">
        <v>47</v>
      </c>
    </row>
    <row r="185" spans="2:4" x14ac:dyDescent="0.35">
      <c r="B185" s="2" t="s">
        <v>28</v>
      </c>
      <c r="C185" s="1" t="s">
        <v>4</v>
      </c>
      <c r="D185" s="3">
        <v>38</v>
      </c>
    </row>
    <row r="186" spans="2:4" x14ac:dyDescent="0.35">
      <c r="B186" s="2" t="s">
        <v>28</v>
      </c>
      <c r="C186" s="1" t="s">
        <v>9</v>
      </c>
      <c r="D186" s="3">
        <v>13</v>
      </c>
    </row>
    <row r="187" spans="2:4" x14ac:dyDescent="0.35">
      <c r="B187" s="2" t="s">
        <v>28</v>
      </c>
      <c r="C187" s="1" t="s">
        <v>3</v>
      </c>
      <c r="D187" s="3">
        <v>41</v>
      </c>
    </row>
    <row r="188" spans="2:4" x14ac:dyDescent="0.35">
      <c r="B188" s="2" t="s">
        <v>28</v>
      </c>
      <c r="C188" s="1" t="s">
        <v>10</v>
      </c>
      <c r="D188" s="3">
        <v>18</v>
      </c>
    </row>
    <row r="189" spans="2:4" x14ac:dyDescent="0.35">
      <c r="B189" s="2" t="s">
        <v>28</v>
      </c>
      <c r="C189" s="1" t="s">
        <v>6</v>
      </c>
      <c r="D189" s="3">
        <v>57</v>
      </c>
    </row>
    <row r="190" spans="2:4" x14ac:dyDescent="0.35">
      <c r="B190" s="2" t="s">
        <v>28</v>
      </c>
      <c r="C190" s="1" t="s">
        <v>11</v>
      </c>
      <c r="D190" s="3">
        <v>32</v>
      </c>
    </row>
    <row r="191" spans="2:4" x14ac:dyDescent="0.35">
      <c r="B191" s="2" t="s">
        <v>28</v>
      </c>
      <c r="C191" s="1" t="s">
        <v>8</v>
      </c>
      <c r="D191" s="3">
        <v>105.69999999999999</v>
      </c>
    </row>
    <row r="192" spans="2:4" x14ac:dyDescent="0.35">
      <c r="B192" s="2" t="s">
        <v>28</v>
      </c>
      <c r="C192" s="1" t="s">
        <v>12</v>
      </c>
      <c r="D192" s="3">
        <v>3</v>
      </c>
    </row>
    <row r="193" spans="2:4" x14ac:dyDescent="0.35">
      <c r="B193" s="2" t="s">
        <v>28</v>
      </c>
      <c r="C193" s="1" t="s">
        <v>49</v>
      </c>
      <c r="D193" s="3">
        <v>5</v>
      </c>
    </row>
    <row r="194" spans="2:4" x14ac:dyDescent="0.35">
      <c r="B194" s="2" t="s">
        <v>28</v>
      </c>
      <c r="C194" s="1" t="s">
        <v>50</v>
      </c>
      <c r="D194" s="4">
        <v>16.53</v>
      </c>
    </row>
    <row r="195" spans="2:4" x14ac:dyDescent="0.35">
      <c r="B195" s="2" t="s">
        <v>29</v>
      </c>
      <c r="C195" s="1" t="s">
        <v>2</v>
      </c>
      <c r="D195" s="3">
        <v>62</v>
      </c>
    </row>
    <row r="196" spans="2:4" x14ac:dyDescent="0.35">
      <c r="B196" s="2" t="s">
        <v>29</v>
      </c>
      <c r="C196" s="1" t="s">
        <v>7</v>
      </c>
      <c r="D196" s="3">
        <v>46</v>
      </c>
    </row>
    <row r="197" spans="2:4" x14ac:dyDescent="0.35">
      <c r="B197" s="2" t="s">
        <v>29</v>
      </c>
      <c r="C197" s="1" t="s">
        <v>4</v>
      </c>
      <c r="D197" s="3">
        <v>37</v>
      </c>
    </row>
    <row r="198" spans="2:4" x14ac:dyDescent="0.35">
      <c r="B198" s="2" t="s">
        <v>29</v>
      </c>
      <c r="C198" s="1" t="s">
        <v>9</v>
      </c>
      <c r="D198" s="3">
        <v>18</v>
      </c>
    </row>
    <row r="199" spans="2:4" x14ac:dyDescent="0.35">
      <c r="B199" s="2" t="s">
        <v>29</v>
      </c>
      <c r="C199" s="1" t="s">
        <v>3</v>
      </c>
      <c r="D199" s="3">
        <v>35</v>
      </c>
    </row>
    <row r="200" spans="2:4" x14ac:dyDescent="0.35">
      <c r="B200" s="2" t="s">
        <v>29</v>
      </c>
      <c r="C200" s="1" t="s">
        <v>10</v>
      </c>
      <c r="D200" s="3">
        <v>17</v>
      </c>
    </row>
    <row r="201" spans="2:4" x14ac:dyDescent="0.35">
      <c r="B201" s="2" t="s">
        <v>29</v>
      </c>
      <c r="C201" s="1" t="s">
        <v>6</v>
      </c>
      <c r="D201" s="3">
        <v>57</v>
      </c>
    </row>
    <row r="202" spans="2:4" x14ac:dyDescent="0.35">
      <c r="B202" s="2" t="s">
        <v>29</v>
      </c>
      <c r="C202" s="1" t="s">
        <v>11</v>
      </c>
      <c r="D202" s="3">
        <v>32</v>
      </c>
    </row>
    <row r="203" spans="2:4" x14ac:dyDescent="0.35">
      <c r="B203" s="2" t="s">
        <v>29</v>
      </c>
      <c r="C203" s="1" t="s">
        <v>8</v>
      </c>
      <c r="D203" s="3">
        <v>109.44</v>
      </c>
    </row>
    <row r="204" spans="2:4" x14ac:dyDescent="0.35">
      <c r="B204" s="2" t="s">
        <v>29</v>
      </c>
      <c r="C204" s="1" t="s">
        <v>12</v>
      </c>
      <c r="D204" s="3">
        <v>3</v>
      </c>
    </row>
    <row r="205" spans="2:4" x14ac:dyDescent="0.35">
      <c r="B205" s="2" t="s">
        <v>29</v>
      </c>
      <c r="C205" s="1" t="s">
        <v>49</v>
      </c>
      <c r="D205" s="3">
        <v>5</v>
      </c>
    </row>
    <row r="206" spans="2:4" x14ac:dyDescent="0.35">
      <c r="B206" s="2" t="s">
        <v>29</v>
      </c>
      <c r="C206" s="1" t="s">
        <v>50</v>
      </c>
      <c r="D206" s="4">
        <v>16.400000000000002</v>
      </c>
    </row>
    <row r="207" spans="2:4" x14ac:dyDescent="0.35">
      <c r="B207" s="2" t="s">
        <v>30</v>
      </c>
      <c r="C207" s="1" t="s">
        <v>2</v>
      </c>
      <c r="D207" s="3">
        <v>70</v>
      </c>
    </row>
    <row r="208" spans="2:4" x14ac:dyDescent="0.35">
      <c r="B208" s="2" t="s">
        <v>30</v>
      </c>
      <c r="C208" s="1" t="s">
        <v>7</v>
      </c>
      <c r="D208" s="3">
        <v>56</v>
      </c>
    </row>
    <row r="209" spans="2:4" x14ac:dyDescent="0.35">
      <c r="B209" s="2" t="s">
        <v>30</v>
      </c>
      <c r="C209" s="1" t="s">
        <v>4</v>
      </c>
      <c r="D209" s="3">
        <v>33</v>
      </c>
    </row>
    <row r="210" spans="2:4" x14ac:dyDescent="0.35">
      <c r="B210" s="2" t="s">
        <v>30</v>
      </c>
      <c r="C210" s="1" t="s">
        <v>9</v>
      </c>
      <c r="D210" s="3">
        <v>16</v>
      </c>
    </row>
    <row r="211" spans="2:4" x14ac:dyDescent="0.35">
      <c r="B211" s="2" t="s">
        <v>30</v>
      </c>
      <c r="C211" s="1" t="s">
        <v>3</v>
      </c>
      <c r="D211" s="3">
        <v>49</v>
      </c>
    </row>
    <row r="212" spans="2:4" x14ac:dyDescent="0.35">
      <c r="B212" s="2" t="s">
        <v>30</v>
      </c>
      <c r="C212" s="1" t="s">
        <v>10</v>
      </c>
      <c r="D212" s="3">
        <v>17</v>
      </c>
    </row>
    <row r="213" spans="2:4" x14ac:dyDescent="0.35">
      <c r="B213" s="2" t="s">
        <v>30</v>
      </c>
      <c r="C213" s="1" t="s">
        <v>6</v>
      </c>
      <c r="D213" s="3">
        <v>64</v>
      </c>
    </row>
    <row r="214" spans="2:4" x14ac:dyDescent="0.35">
      <c r="B214" s="2" t="s">
        <v>30</v>
      </c>
      <c r="C214" s="1" t="s">
        <v>11</v>
      </c>
      <c r="D214" s="3">
        <v>33</v>
      </c>
    </row>
    <row r="215" spans="2:4" x14ac:dyDescent="0.35">
      <c r="B215" s="2" t="s">
        <v>30</v>
      </c>
      <c r="C215" s="1" t="s">
        <v>8</v>
      </c>
      <c r="D215" s="3">
        <v>104.78</v>
      </c>
    </row>
    <row r="216" spans="2:4" x14ac:dyDescent="0.35">
      <c r="B216" s="2" t="s">
        <v>30</v>
      </c>
      <c r="C216" s="1" t="s">
        <v>12</v>
      </c>
      <c r="D216" s="3">
        <v>4</v>
      </c>
    </row>
    <row r="217" spans="2:4" x14ac:dyDescent="0.35">
      <c r="B217" s="2" t="s">
        <v>30</v>
      </c>
      <c r="C217" s="1" t="s">
        <v>49</v>
      </c>
      <c r="D217" s="3">
        <v>6</v>
      </c>
    </row>
    <row r="218" spans="2:4" x14ac:dyDescent="0.35">
      <c r="B218" s="2" t="s">
        <v>30</v>
      </c>
      <c r="C218" s="1" t="s">
        <v>50</v>
      </c>
      <c r="D218" s="4">
        <v>18.72</v>
      </c>
    </row>
    <row r="219" spans="2:4" x14ac:dyDescent="0.35">
      <c r="B219" s="2" t="s">
        <v>31</v>
      </c>
      <c r="C219" s="1" t="s">
        <v>2</v>
      </c>
      <c r="D219" s="3">
        <v>68</v>
      </c>
    </row>
    <row r="220" spans="2:4" x14ac:dyDescent="0.35">
      <c r="B220" s="2" t="s">
        <v>31</v>
      </c>
      <c r="C220" s="1" t="s">
        <v>7</v>
      </c>
      <c r="D220" s="3">
        <v>52</v>
      </c>
    </row>
    <row r="221" spans="2:4" x14ac:dyDescent="0.35">
      <c r="B221" s="2" t="s">
        <v>31</v>
      </c>
      <c r="C221" s="1" t="s">
        <v>4</v>
      </c>
      <c r="D221" s="3">
        <v>33</v>
      </c>
    </row>
    <row r="222" spans="2:4" x14ac:dyDescent="0.35">
      <c r="B222" s="2" t="s">
        <v>31</v>
      </c>
      <c r="C222" s="1" t="s">
        <v>9</v>
      </c>
      <c r="D222" s="3">
        <v>16</v>
      </c>
    </row>
    <row r="223" spans="2:4" x14ac:dyDescent="0.35">
      <c r="B223" s="2" t="s">
        <v>31</v>
      </c>
      <c r="C223" s="1" t="s">
        <v>3</v>
      </c>
      <c r="D223" s="3">
        <v>40</v>
      </c>
    </row>
    <row r="224" spans="2:4" x14ac:dyDescent="0.35">
      <c r="B224" s="2" t="s">
        <v>31</v>
      </c>
      <c r="C224" s="1" t="s">
        <v>10</v>
      </c>
      <c r="D224" s="3">
        <v>15</v>
      </c>
    </row>
    <row r="225" spans="2:4" x14ac:dyDescent="0.35">
      <c r="B225" s="2" t="s">
        <v>31</v>
      </c>
      <c r="C225" s="1" t="s">
        <v>6</v>
      </c>
      <c r="D225" s="3">
        <v>55</v>
      </c>
    </row>
    <row r="226" spans="2:4" x14ac:dyDescent="0.35">
      <c r="B226" s="2" t="s">
        <v>31</v>
      </c>
      <c r="C226" s="1" t="s">
        <v>11</v>
      </c>
      <c r="D226" s="3">
        <v>31</v>
      </c>
    </row>
    <row r="227" spans="2:4" x14ac:dyDescent="0.35">
      <c r="B227" s="2" t="s">
        <v>31</v>
      </c>
      <c r="C227" s="1" t="s">
        <v>8</v>
      </c>
      <c r="D227" s="3">
        <v>99.2</v>
      </c>
    </row>
    <row r="228" spans="2:4" x14ac:dyDescent="0.35">
      <c r="B228" s="2" t="s">
        <v>31</v>
      </c>
      <c r="C228" s="1" t="s">
        <v>12</v>
      </c>
      <c r="D228" s="3">
        <v>4</v>
      </c>
    </row>
    <row r="229" spans="2:4" x14ac:dyDescent="0.35">
      <c r="B229" s="2" t="s">
        <v>31</v>
      </c>
      <c r="C229" s="1" t="s">
        <v>49</v>
      </c>
      <c r="D229" s="3">
        <v>5</v>
      </c>
    </row>
    <row r="230" spans="2:4" x14ac:dyDescent="0.35">
      <c r="B230" s="2" t="s">
        <v>31</v>
      </c>
      <c r="C230" s="1" t="s">
        <v>50</v>
      </c>
      <c r="D230" s="4">
        <v>16.850000000000001</v>
      </c>
    </row>
    <row r="231" spans="2:4" x14ac:dyDescent="0.35">
      <c r="B231" s="2" t="s">
        <v>32</v>
      </c>
      <c r="C231" s="1" t="s">
        <v>2</v>
      </c>
      <c r="D231" s="3">
        <v>69</v>
      </c>
    </row>
    <row r="232" spans="2:4" x14ac:dyDescent="0.35">
      <c r="B232" s="2" t="s">
        <v>32</v>
      </c>
      <c r="C232" s="1" t="s">
        <v>7</v>
      </c>
      <c r="D232" s="3">
        <v>48</v>
      </c>
    </row>
    <row r="233" spans="2:4" x14ac:dyDescent="0.35">
      <c r="B233" s="2" t="s">
        <v>32</v>
      </c>
      <c r="C233" s="1" t="s">
        <v>4</v>
      </c>
      <c r="D233" s="3">
        <v>39</v>
      </c>
    </row>
    <row r="234" spans="2:4" x14ac:dyDescent="0.35">
      <c r="B234" s="2" t="s">
        <v>32</v>
      </c>
      <c r="C234" s="1" t="s">
        <v>9</v>
      </c>
      <c r="D234" s="3">
        <v>20</v>
      </c>
    </row>
    <row r="235" spans="2:4" x14ac:dyDescent="0.35">
      <c r="B235" s="2" t="s">
        <v>32</v>
      </c>
      <c r="C235" s="1" t="s">
        <v>3</v>
      </c>
      <c r="D235" s="3">
        <v>50</v>
      </c>
    </row>
    <row r="236" spans="2:4" x14ac:dyDescent="0.35">
      <c r="B236" s="2" t="s">
        <v>32</v>
      </c>
      <c r="C236" s="1" t="s">
        <v>10</v>
      </c>
      <c r="D236" s="3">
        <v>15</v>
      </c>
    </row>
    <row r="237" spans="2:4" x14ac:dyDescent="0.35">
      <c r="B237" s="2" t="s">
        <v>32</v>
      </c>
      <c r="C237" s="1" t="s">
        <v>6</v>
      </c>
      <c r="D237" s="3">
        <v>64</v>
      </c>
    </row>
    <row r="238" spans="2:4" x14ac:dyDescent="0.35">
      <c r="B238" s="2" t="s">
        <v>32</v>
      </c>
      <c r="C238" s="1" t="s">
        <v>11</v>
      </c>
      <c r="D238" s="3">
        <v>32</v>
      </c>
    </row>
    <row r="239" spans="2:4" x14ac:dyDescent="0.35">
      <c r="B239" s="2" t="s">
        <v>32</v>
      </c>
      <c r="C239" s="1" t="s">
        <v>8</v>
      </c>
      <c r="D239" s="3">
        <v>104.47</v>
      </c>
    </row>
    <row r="240" spans="2:4" x14ac:dyDescent="0.35">
      <c r="B240" s="2" t="s">
        <v>32</v>
      </c>
      <c r="C240" s="1" t="s">
        <v>12</v>
      </c>
      <c r="D240" s="3">
        <v>4</v>
      </c>
    </row>
    <row r="241" spans="2:4" x14ac:dyDescent="0.35">
      <c r="B241" s="2" t="s">
        <v>32</v>
      </c>
      <c r="C241" s="1" t="s">
        <v>49</v>
      </c>
      <c r="D241" s="3">
        <v>5</v>
      </c>
    </row>
    <row r="242" spans="2:4" x14ac:dyDescent="0.35">
      <c r="B242" s="2" t="s">
        <v>32</v>
      </c>
      <c r="C242" s="1" t="s">
        <v>50</v>
      </c>
      <c r="D242" s="4">
        <v>19.149999999999999</v>
      </c>
    </row>
    <row r="243" spans="2:4" x14ac:dyDescent="0.35">
      <c r="B243" s="2" t="s">
        <v>33</v>
      </c>
      <c r="C243" s="1" t="s">
        <v>2</v>
      </c>
      <c r="D243" s="3">
        <v>57</v>
      </c>
    </row>
    <row r="244" spans="2:4" x14ac:dyDescent="0.35">
      <c r="B244" s="2" t="s">
        <v>33</v>
      </c>
      <c r="C244" s="1" t="s">
        <v>7</v>
      </c>
      <c r="D244" s="3">
        <v>53</v>
      </c>
    </row>
    <row r="245" spans="2:4" x14ac:dyDescent="0.35">
      <c r="B245" s="2" t="s">
        <v>33</v>
      </c>
      <c r="C245" s="1" t="s">
        <v>4</v>
      </c>
      <c r="D245" s="3">
        <v>28</v>
      </c>
    </row>
    <row r="246" spans="2:4" x14ac:dyDescent="0.35">
      <c r="B246" s="2" t="s">
        <v>33</v>
      </c>
      <c r="C246" s="1" t="s">
        <v>9</v>
      </c>
      <c r="D246" s="3">
        <v>17</v>
      </c>
    </row>
    <row r="247" spans="2:4" x14ac:dyDescent="0.35">
      <c r="B247" s="2" t="s">
        <v>33</v>
      </c>
      <c r="C247" s="1" t="s">
        <v>3</v>
      </c>
      <c r="D247" s="3">
        <v>42</v>
      </c>
    </row>
    <row r="248" spans="2:4" x14ac:dyDescent="0.35">
      <c r="B248" s="2" t="s">
        <v>33</v>
      </c>
      <c r="C248" s="1" t="s">
        <v>10</v>
      </c>
      <c r="D248" s="3">
        <v>14</v>
      </c>
    </row>
    <row r="249" spans="2:4" x14ac:dyDescent="0.35">
      <c r="B249" s="2" t="s">
        <v>33</v>
      </c>
      <c r="C249" s="1" t="s">
        <v>6</v>
      </c>
      <c r="D249" s="3">
        <v>57</v>
      </c>
    </row>
    <row r="250" spans="2:4" x14ac:dyDescent="0.35">
      <c r="B250" s="2" t="s">
        <v>33</v>
      </c>
      <c r="C250" s="1" t="s">
        <v>11</v>
      </c>
      <c r="D250" s="3">
        <v>32</v>
      </c>
    </row>
    <row r="251" spans="2:4" x14ac:dyDescent="0.35">
      <c r="B251" s="2" t="s">
        <v>33</v>
      </c>
      <c r="C251" s="1" t="s">
        <v>8</v>
      </c>
      <c r="D251" s="3">
        <v>96</v>
      </c>
    </row>
    <row r="252" spans="2:4" x14ac:dyDescent="0.35">
      <c r="B252" s="2" t="s">
        <v>33</v>
      </c>
      <c r="C252" s="1" t="s">
        <v>12</v>
      </c>
      <c r="D252" s="3">
        <v>4</v>
      </c>
    </row>
    <row r="253" spans="2:4" x14ac:dyDescent="0.35">
      <c r="B253" s="2" t="s">
        <v>33</v>
      </c>
      <c r="C253" s="1" t="s">
        <v>49</v>
      </c>
      <c r="D253" s="3">
        <v>5</v>
      </c>
    </row>
    <row r="254" spans="2:4" x14ac:dyDescent="0.35">
      <c r="B254" s="2" t="s">
        <v>33</v>
      </c>
      <c r="C254" s="1" t="s">
        <v>50</v>
      </c>
      <c r="D254" s="4">
        <v>16</v>
      </c>
    </row>
    <row r="255" spans="2:4" x14ac:dyDescent="0.35">
      <c r="B255" s="2" t="s">
        <v>34</v>
      </c>
      <c r="C255" s="1" t="s">
        <v>2</v>
      </c>
      <c r="D255" s="3">
        <v>72</v>
      </c>
    </row>
    <row r="256" spans="2:4" x14ac:dyDescent="0.35">
      <c r="B256" s="2" t="s">
        <v>34</v>
      </c>
      <c r="C256" s="1" t="s">
        <v>7</v>
      </c>
      <c r="D256" s="3">
        <v>58</v>
      </c>
    </row>
    <row r="257" spans="2:4" x14ac:dyDescent="0.35">
      <c r="B257" s="2" t="s">
        <v>34</v>
      </c>
      <c r="C257" s="1" t="s">
        <v>4</v>
      </c>
      <c r="D257" s="3">
        <v>39</v>
      </c>
    </row>
    <row r="258" spans="2:4" x14ac:dyDescent="0.35">
      <c r="B258" s="2" t="s">
        <v>34</v>
      </c>
      <c r="C258" s="1" t="s">
        <v>9</v>
      </c>
      <c r="D258" s="3">
        <v>13</v>
      </c>
    </row>
    <row r="259" spans="2:4" x14ac:dyDescent="0.35">
      <c r="B259" s="2" t="s">
        <v>34</v>
      </c>
      <c r="C259" s="1" t="s">
        <v>3</v>
      </c>
      <c r="D259" s="3">
        <v>39</v>
      </c>
    </row>
    <row r="260" spans="2:4" x14ac:dyDescent="0.35">
      <c r="B260" s="2" t="s">
        <v>34</v>
      </c>
      <c r="C260" s="1" t="s">
        <v>10</v>
      </c>
      <c r="D260" s="3">
        <v>14</v>
      </c>
    </row>
    <row r="261" spans="2:4" x14ac:dyDescent="0.35">
      <c r="B261" s="2" t="s">
        <v>34</v>
      </c>
      <c r="C261" s="1" t="s">
        <v>6</v>
      </c>
      <c r="D261" s="3">
        <v>56</v>
      </c>
    </row>
    <row r="262" spans="2:4" x14ac:dyDescent="0.35">
      <c r="B262" s="2" t="s">
        <v>34</v>
      </c>
      <c r="C262" s="1" t="s">
        <v>11</v>
      </c>
      <c r="D262" s="3">
        <v>32</v>
      </c>
    </row>
    <row r="263" spans="2:4" x14ac:dyDescent="0.35">
      <c r="B263" s="2" t="s">
        <v>34</v>
      </c>
      <c r="C263" s="1" t="s">
        <v>8</v>
      </c>
      <c r="D263" s="3">
        <v>106.59</v>
      </c>
    </row>
    <row r="264" spans="2:4" x14ac:dyDescent="0.35">
      <c r="B264" s="2" t="s">
        <v>34</v>
      </c>
      <c r="C264" s="1" t="s">
        <v>12</v>
      </c>
      <c r="D264" s="3">
        <v>4</v>
      </c>
    </row>
    <row r="265" spans="2:4" x14ac:dyDescent="0.35">
      <c r="B265" s="2" t="s">
        <v>34</v>
      </c>
      <c r="C265" s="1" t="s">
        <v>49</v>
      </c>
      <c r="D265" s="3">
        <v>6</v>
      </c>
    </row>
    <row r="266" spans="2:4" x14ac:dyDescent="0.35">
      <c r="B266" s="2" t="s">
        <v>34</v>
      </c>
      <c r="C266" s="1" t="s">
        <v>50</v>
      </c>
      <c r="D266" s="4">
        <v>17.600000000000001</v>
      </c>
    </row>
    <row r="267" spans="2:4" x14ac:dyDescent="0.35">
      <c r="B267" s="2" t="s">
        <v>35</v>
      </c>
      <c r="C267" s="1" t="s">
        <v>2</v>
      </c>
      <c r="D267" s="3">
        <v>64</v>
      </c>
    </row>
    <row r="268" spans="2:4" x14ac:dyDescent="0.35">
      <c r="B268" s="2" t="s">
        <v>35</v>
      </c>
      <c r="C268" s="1" t="s">
        <v>7</v>
      </c>
      <c r="D268" s="3">
        <v>55</v>
      </c>
    </row>
    <row r="269" spans="2:4" x14ac:dyDescent="0.35">
      <c r="B269" s="2" t="s">
        <v>35</v>
      </c>
      <c r="C269" s="1" t="s">
        <v>4</v>
      </c>
      <c r="D269" s="3">
        <v>28</v>
      </c>
    </row>
    <row r="270" spans="2:4" x14ac:dyDescent="0.35">
      <c r="B270" s="2" t="s">
        <v>35</v>
      </c>
      <c r="C270" s="1" t="s">
        <v>9</v>
      </c>
      <c r="D270" s="3">
        <v>16</v>
      </c>
    </row>
    <row r="271" spans="2:4" x14ac:dyDescent="0.35">
      <c r="B271" s="2" t="s">
        <v>35</v>
      </c>
      <c r="C271" s="1" t="s">
        <v>3</v>
      </c>
      <c r="D271" s="3">
        <v>40</v>
      </c>
    </row>
    <row r="272" spans="2:4" x14ac:dyDescent="0.35">
      <c r="B272" s="2" t="s">
        <v>35</v>
      </c>
      <c r="C272" s="1" t="s">
        <v>10</v>
      </c>
      <c r="D272" s="3">
        <v>11</v>
      </c>
    </row>
    <row r="273" spans="2:4" x14ac:dyDescent="0.35">
      <c r="B273" s="2" t="s">
        <v>35</v>
      </c>
      <c r="C273" s="1" t="s">
        <v>6</v>
      </c>
      <c r="D273" s="3">
        <v>63</v>
      </c>
    </row>
    <row r="274" spans="2:4" x14ac:dyDescent="0.35">
      <c r="B274" s="2" t="s">
        <v>35</v>
      </c>
      <c r="C274" s="1" t="s">
        <v>11</v>
      </c>
      <c r="D274" s="3">
        <v>34</v>
      </c>
    </row>
    <row r="275" spans="2:4" x14ac:dyDescent="0.35">
      <c r="B275" s="2" t="s">
        <v>35</v>
      </c>
      <c r="C275" s="1" t="s">
        <v>8</v>
      </c>
      <c r="D275" s="3">
        <v>99.52</v>
      </c>
    </row>
    <row r="276" spans="2:4" x14ac:dyDescent="0.35">
      <c r="B276" s="2" t="s">
        <v>35</v>
      </c>
      <c r="C276" s="1" t="s">
        <v>12</v>
      </c>
      <c r="D276" s="3">
        <v>4</v>
      </c>
    </row>
    <row r="277" spans="2:4" x14ac:dyDescent="0.35">
      <c r="B277" s="2" t="s">
        <v>35</v>
      </c>
      <c r="C277" s="1" t="s">
        <v>49</v>
      </c>
      <c r="D277" s="3">
        <v>5</v>
      </c>
    </row>
    <row r="278" spans="2:4" x14ac:dyDescent="0.35">
      <c r="B278" s="2" t="s">
        <v>35</v>
      </c>
      <c r="C278" s="1" t="s">
        <v>50</v>
      </c>
      <c r="D278" s="4">
        <v>16.98</v>
      </c>
    </row>
    <row r="279" spans="2:4" x14ac:dyDescent="0.35">
      <c r="B279" s="2" t="s">
        <v>36</v>
      </c>
      <c r="C279" s="1" t="s">
        <v>2</v>
      </c>
      <c r="D279" s="3">
        <v>69</v>
      </c>
    </row>
    <row r="280" spans="2:4" x14ac:dyDescent="0.35">
      <c r="B280" s="2" t="s">
        <v>36</v>
      </c>
      <c r="C280" s="1" t="s">
        <v>7</v>
      </c>
      <c r="D280" s="3">
        <v>48</v>
      </c>
    </row>
    <row r="281" spans="2:4" x14ac:dyDescent="0.35">
      <c r="B281" s="2" t="s">
        <v>36</v>
      </c>
      <c r="C281" s="1" t="s">
        <v>4</v>
      </c>
      <c r="D281" s="3">
        <v>36</v>
      </c>
    </row>
    <row r="282" spans="2:4" x14ac:dyDescent="0.35">
      <c r="B282" s="2" t="s">
        <v>36</v>
      </c>
      <c r="C282" s="1" t="s">
        <v>9</v>
      </c>
      <c r="D282" s="3">
        <v>19</v>
      </c>
    </row>
    <row r="283" spans="2:4" x14ac:dyDescent="0.35">
      <c r="B283" s="2" t="s">
        <v>36</v>
      </c>
      <c r="C283" s="1" t="s">
        <v>3</v>
      </c>
      <c r="D283" s="3">
        <v>50</v>
      </c>
    </row>
    <row r="284" spans="2:4" x14ac:dyDescent="0.35">
      <c r="B284" s="2" t="s">
        <v>36</v>
      </c>
      <c r="C284" s="1" t="s">
        <v>10</v>
      </c>
      <c r="D284" s="3">
        <v>13</v>
      </c>
    </row>
    <row r="285" spans="2:4" x14ac:dyDescent="0.35">
      <c r="B285" s="2" t="s">
        <v>36</v>
      </c>
      <c r="C285" s="1" t="s">
        <v>6</v>
      </c>
      <c r="D285" s="3">
        <v>60</v>
      </c>
    </row>
    <row r="286" spans="2:4" x14ac:dyDescent="0.35">
      <c r="B286" s="2" t="s">
        <v>36</v>
      </c>
      <c r="C286" s="1" t="s">
        <v>11</v>
      </c>
      <c r="D286" s="3">
        <v>31</v>
      </c>
    </row>
    <row r="287" spans="2:4" x14ac:dyDescent="0.35">
      <c r="B287" s="2" t="s">
        <v>36</v>
      </c>
      <c r="C287" s="1" t="s">
        <v>8</v>
      </c>
      <c r="D287" s="3">
        <v>101.06</v>
      </c>
    </row>
    <row r="288" spans="2:4" x14ac:dyDescent="0.35">
      <c r="B288" s="2" t="s">
        <v>36</v>
      </c>
      <c r="C288" s="1" t="s">
        <v>12</v>
      </c>
      <c r="D288" s="3">
        <v>3</v>
      </c>
    </row>
    <row r="289" spans="2:4" x14ac:dyDescent="0.35">
      <c r="B289" s="2" t="s">
        <v>36</v>
      </c>
      <c r="C289" s="1" t="s">
        <v>49</v>
      </c>
      <c r="D289" s="3">
        <v>6</v>
      </c>
    </row>
    <row r="290" spans="2:4" x14ac:dyDescent="0.35">
      <c r="B290" s="2" t="s">
        <v>36</v>
      </c>
      <c r="C290" s="1" t="s">
        <v>50</v>
      </c>
      <c r="D290" s="4">
        <v>18.54</v>
      </c>
    </row>
    <row r="291" spans="2:4" x14ac:dyDescent="0.35">
      <c r="B291" s="2" t="s">
        <v>37</v>
      </c>
      <c r="C291" s="1" t="s">
        <v>2</v>
      </c>
      <c r="D291" s="3">
        <v>57</v>
      </c>
    </row>
    <row r="292" spans="2:4" x14ac:dyDescent="0.35">
      <c r="B292" s="2" t="s">
        <v>37</v>
      </c>
      <c r="C292" s="1" t="s">
        <v>7</v>
      </c>
      <c r="D292" s="3">
        <v>47</v>
      </c>
    </row>
    <row r="293" spans="2:4" x14ac:dyDescent="0.35">
      <c r="B293" s="2" t="s">
        <v>37</v>
      </c>
      <c r="C293" s="1" t="s">
        <v>4</v>
      </c>
      <c r="D293" s="3">
        <v>35</v>
      </c>
    </row>
    <row r="294" spans="2:4" x14ac:dyDescent="0.35">
      <c r="B294" s="2" t="s">
        <v>37</v>
      </c>
      <c r="C294" s="1" t="s">
        <v>9</v>
      </c>
      <c r="D294" s="3">
        <v>17</v>
      </c>
    </row>
    <row r="295" spans="2:4" x14ac:dyDescent="0.35">
      <c r="B295" s="2" t="s">
        <v>37</v>
      </c>
      <c r="C295" s="1" t="s">
        <v>3</v>
      </c>
      <c r="D295" s="3">
        <v>41</v>
      </c>
    </row>
    <row r="296" spans="2:4" x14ac:dyDescent="0.35">
      <c r="B296" s="2" t="s">
        <v>37</v>
      </c>
      <c r="C296" s="1" t="s">
        <v>10</v>
      </c>
      <c r="D296" s="3">
        <v>11</v>
      </c>
    </row>
    <row r="297" spans="2:4" x14ac:dyDescent="0.35">
      <c r="B297" s="2" t="s">
        <v>37</v>
      </c>
      <c r="C297" s="1" t="s">
        <v>6</v>
      </c>
      <c r="D297" s="3">
        <v>61</v>
      </c>
    </row>
    <row r="298" spans="2:4" x14ac:dyDescent="0.35">
      <c r="B298" s="2" t="s">
        <v>37</v>
      </c>
      <c r="C298" s="1" t="s">
        <v>11</v>
      </c>
      <c r="D298" s="3">
        <v>35</v>
      </c>
    </row>
    <row r="299" spans="2:4" x14ac:dyDescent="0.35">
      <c r="B299" s="2" t="s">
        <v>37</v>
      </c>
      <c r="C299" s="1" t="s">
        <v>8</v>
      </c>
      <c r="D299" s="3">
        <v>88.16</v>
      </c>
    </row>
    <row r="300" spans="2:4" x14ac:dyDescent="0.35">
      <c r="B300" s="2" t="s">
        <v>37</v>
      </c>
      <c r="C300" s="1" t="s">
        <v>12</v>
      </c>
      <c r="D300" s="3">
        <v>3</v>
      </c>
    </row>
    <row r="301" spans="2:4" x14ac:dyDescent="0.35">
      <c r="B301" s="2" t="s">
        <v>37</v>
      </c>
      <c r="C301" s="1" t="s">
        <v>49</v>
      </c>
      <c r="D301" s="3">
        <v>3</v>
      </c>
    </row>
    <row r="302" spans="2:4" x14ac:dyDescent="0.35">
      <c r="B302" s="2" t="s">
        <v>37</v>
      </c>
      <c r="C302" s="1" t="s">
        <v>50</v>
      </c>
      <c r="D302" s="4">
        <v>16.8</v>
      </c>
    </row>
    <row r="303" spans="2:4" x14ac:dyDescent="0.35">
      <c r="B303" s="2" t="s">
        <v>38</v>
      </c>
      <c r="C303" s="1" t="s">
        <v>2</v>
      </c>
      <c r="D303" s="3">
        <v>72</v>
      </c>
    </row>
    <row r="304" spans="2:4" x14ac:dyDescent="0.35">
      <c r="B304" s="2" t="s">
        <v>38</v>
      </c>
      <c r="C304" s="1" t="s">
        <v>7</v>
      </c>
      <c r="D304" s="3">
        <v>57</v>
      </c>
    </row>
    <row r="305" spans="2:4" x14ac:dyDescent="0.35">
      <c r="B305" s="2" t="s">
        <v>38</v>
      </c>
      <c r="C305" s="1" t="s">
        <v>4</v>
      </c>
      <c r="D305" s="3">
        <v>29</v>
      </c>
    </row>
    <row r="306" spans="2:4" x14ac:dyDescent="0.35">
      <c r="B306" s="2" t="s">
        <v>38</v>
      </c>
      <c r="C306" s="1" t="s">
        <v>9</v>
      </c>
      <c r="D306" s="3">
        <v>16</v>
      </c>
    </row>
    <row r="307" spans="2:4" x14ac:dyDescent="0.35">
      <c r="B307" s="2" t="s">
        <v>38</v>
      </c>
      <c r="C307" s="1" t="s">
        <v>3</v>
      </c>
      <c r="D307" s="3">
        <v>49</v>
      </c>
    </row>
    <row r="308" spans="2:4" x14ac:dyDescent="0.35">
      <c r="B308" s="2" t="s">
        <v>38</v>
      </c>
      <c r="C308" s="1" t="s">
        <v>10</v>
      </c>
      <c r="D308" s="3">
        <v>19</v>
      </c>
    </row>
    <row r="309" spans="2:4" x14ac:dyDescent="0.35">
      <c r="B309" s="2" t="s">
        <v>38</v>
      </c>
      <c r="C309" s="1" t="s">
        <v>6</v>
      </c>
      <c r="D309" s="3">
        <v>57</v>
      </c>
    </row>
    <row r="310" spans="2:4" x14ac:dyDescent="0.35">
      <c r="B310" s="2" t="s">
        <v>38</v>
      </c>
      <c r="C310" s="1" t="s">
        <v>11</v>
      </c>
      <c r="D310" s="3">
        <v>35</v>
      </c>
    </row>
    <row r="311" spans="2:4" x14ac:dyDescent="0.35">
      <c r="B311" s="2" t="s">
        <v>38</v>
      </c>
      <c r="C311" s="1" t="s">
        <v>8</v>
      </c>
      <c r="D311" s="3">
        <v>96.86</v>
      </c>
    </row>
    <row r="312" spans="2:4" x14ac:dyDescent="0.35">
      <c r="B312" s="2" t="s">
        <v>38</v>
      </c>
      <c r="C312" s="1" t="s">
        <v>12</v>
      </c>
      <c r="D312" s="3">
        <v>4</v>
      </c>
    </row>
    <row r="313" spans="2:4" x14ac:dyDescent="0.35">
      <c r="B313" s="2" t="s">
        <v>38</v>
      </c>
      <c r="C313" s="1" t="s">
        <v>49</v>
      </c>
      <c r="D313" s="3">
        <v>4</v>
      </c>
    </row>
    <row r="314" spans="2:4" x14ac:dyDescent="0.35">
      <c r="B314" s="2" t="s">
        <v>38</v>
      </c>
      <c r="C314" s="1" t="s">
        <v>50</v>
      </c>
      <c r="D314" s="4">
        <v>17.899999999999999</v>
      </c>
    </row>
    <row r="315" spans="2:4" x14ac:dyDescent="0.35">
      <c r="B315" s="2" t="s">
        <v>39</v>
      </c>
      <c r="C315" s="1" t="s">
        <v>2</v>
      </c>
      <c r="D315" s="3">
        <v>61</v>
      </c>
    </row>
    <row r="316" spans="2:4" x14ac:dyDescent="0.35">
      <c r="B316" s="2" t="s">
        <v>39</v>
      </c>
      <c r="C316" s="1" t="s">
        <v>7</v>
      </c>
      <c r="D316" s="3">
        <v>52</v>
      </c>
    </row>
    <row r="317" spans="2:4" x14ac:dyDescent="0.35">
      <c r="B317" s="2" t="s">
        <v>39</v>
      </c>
      <c r="C317" s="1" t="s">
        <v>4</v>
      </c>
      <c r="D317" s="3">
        <v>27</v>
      </c>
    </row>
    <row r="318" spans="2:4" x14ac:dyDescent="0.35">
      <c r="B318" s="2" t="s">
        <v>39</v>
      </c>
      <c r="C318" s="1" t="s">
        <v>9</v>
      </c>
      <c r="D318" s="3">
        <v>13</v>
      </c>
    </row>
    <row r="319" spans="2:4" x14ac:dyDescent="0.35">
      <c r="B319" s="2" t="s">
        <v>39</v>
      </c>
      <c r="C319" s="1" t="s">
        <v>3</v>
      </c>
      <c r="D319" s="3">
        <v>38</v>
      </c>
    </row>
    <row r="320" spans="2:4" x14ac:dyDescent="0.35">
      <c r="B320" s="2" t="s">
        <v>39</v>
      </c>
      <c r="C320" s="1" t="s">
        <v>10</v>
      </c>
      <c r="D320" s="3">
        <v>17</v>
      </c>
    </row>
    <row r="321" spans="2:4" x14ac:dyDescent="0.35">
      <c r="B321" s="2" t="s">
        <v>39</v>
      </c>
      <c r="C321" s="1" t="s">
        <v>6</v>
      </c>
      <c r="D321" s="3">
        <v>63</v>
      </c>
    </row>
    <row r="322" spans="2:4" x14ac:dyDescent="0.35">
      <c r="B322" s="2" t="s">
        <v>39</v>
      </c>
      <c r="C322" s="1" t="s">
        <v>11</v>
      </c>
      <c r="D322" s="3">
        <v>31</v>
      </c>
    </row>
    <row r="323" spans="2:4" x14ac:dyDescent="0.35">
      <c r="B323" s="2" t="s">
        <v>39</v>
      </c>
      <c r="C323" s="1" t="s">
        <v>8</v>
      </c>
      <c r="D323" s="3">
        <v>87.58</v>
      </c>
    </row>
    <row r="324" spans="2:4" x14ac:dyDescent="0.35">
      <c r="B324" s="2" t="s">
        <v>39</v>
      </c>
      <c r="C324" s="1" t="s">
        <v>12</v>
      </c>
      <c r="D324" s="3">
        <v>4</v>
      </c>
    </row>
    <row r="325" spans="2:4" x14ac:dyDescent="0.35">
      <c r="B325" s="2" t="s">
        <v>39</v>
      </c>
      <c r="C325" s="1" t="s">
        <v>49</v>
      </c>
      <c r="D325" s="3">
        <v>4</v>
      </c>
    </row>
    <row r="326" spans="2:4" x14ac:dyDescent="0.35">
      <c r="B326" s="2" t="s">
        <v>39</v>
      </c>
      <c r="C326" s="1" t="s">
        <v>50</v>
      </c>
      <c r="D326" s="4">
        <v>16.490000000000002</v>
      </c>
    </row>
    <row r="327" spans="2:4" x14ac:dyDescent="0.35">
      <c r="B327" s="2" t="s">
        <v>40</v>
      </c>
      <c r="C327" s="1" t="s">
        <v>2</v>
      </c>
      <c r="D327" s="3">
        <v>62</v>
      </c>
    </row>
    <row r="328" spans="2:4" x14ac:dyDescent="0.35">
      <c r="B328" s="2" t="s">
        <v>40</v>
      </c>
      <c r="C328" s="1" t="s">
        <v>7</v>
      </c>
      <c r="D328" s="3">
        <v>48</v>
      </c>
    </row>
    <row r="329" spans="2:4" x14ac:dyDescent="0.35">
      <c r="B329" s="2" t="s">
        <v>40</v>
      </c>
      <c r="C329" s="1" t="s">
        <v>4</v>
      </c>
      <c r="D329" s="3">
        <v>25</v>
      </c>
    </row>
    <row r="330" spans="2:4" x14ac:dyDescent="0.35">
      <c r="B330" s="2" t="s">
        <v>40</v>
      </c>
      <c r="C330" s="1" t="s">
        <v>9</v>
      </c>
      <c r="D330" s="3">
        <v>20</v>
      </c>
    </row>
    <row r="331" spans="2:4" x14ac:dyDescent="0.35">
      <c r="B331" s="2" t="s">
        <v>40</v>
      </c>
      <c r="C331" s="1" t="s">
        <v>3</v>
      </c>
      <c r="D331" s="3">
        <v>47</v>
      </c>
    </row>
    <row r="332" spans="2:4" x14ac:dyDescent="0.35">
      <c r="B332" s="2" t="s">
        <v>40</v>
      </c>
      <c r="C332" s="1" t="s">
        <v>10</v>
      </c>
      <c r="D332" s="3">
        <v>11</v>
      </c>
    </row>
    <row r="333" spans="2:4" x14ac:dyDescent="0.35">
      <c r="B333" s="2" t="s">
        <v>40</v>
      </c>
      <c r="C333" s="1" t="s">
        <v>6</v>
      </c>
      <c r="D333" s="3">
        <v>56</v>
      </c>
    </row>
    <row r="334" spans="2:4" x14ac:dyDescent="0.35">
      <c r="B334" s="2" t="s">
        <v>40</v>
      </c>
      <c r="C334" s="1" t="s">
        <v>11</v>
      </c>
      <c r="D334" s="3">
        <v>30</v>
      </c>
    </row>
    <row r="335" spans="2:4" x14ac:dyDescent="0.35">
      <c r="B335" s="2" t="s">
        <v>40</v>
      </c>
      <c r="C335" s="1" t="s">
        <v>8</v>
      </c>
      <c r="D335" s="3">
        <v>80.73</v>
      </c>
    </row>
    <row r="336" spans="2:4" x14ac:dyDescent="0.35">
      <c r="B336" s="2" t="s">
        <v>40</v>
      </c>
      <c r="C336" s="1" t="s">
        <v>12</v>
      </c>
      <c r="D336" s="3">
        <v>3</v>
      </c>
    </row>
    <row r="337" spans="2:4" x14ac:dyDescent="0.35">
      <c r="B337" s="2" t="s">
        <v>40</v>
      </c>
      <c r="C337" s="1" t="s">
        <v>49</v>
      </c>
      <c r="D337" s="3">
        <v>4</v>
      </c>
    </row>
    <row r="338" spans="2:4" x14ac:dyDescent="0.35">
      <c r="B338" s="2" t="s">
        <v>40</v>
      </c>
      <c r="C338" s="1" t="s">
        <v>50</v>
      </c>
      <c r="D338" s="4">
        <v>16.54</v>
      </c>
    </row>
    <row r="339" spans="2:4" x14ac:dyDescent="0.35">
      <c r="B339" s="2" t="s">
        <v>41</v>
      </c>
      <c r="C339" s="1" t="s">
        <v>2</v>
      </c>
      <c r="D339" s="3">
        <v>59</v>
      </c>
    </row>
    <row r="340" spans="2:4" x14ac:dyDescent="0.35">
      <c r="B340" s="2" t="s">
        <v>41</v>
      </c>
      <c r="C340" s="1" t="s">
        <v>7</v>
      </c>
      <c r="D340" s="3">
        <v>58</v>
      </c>
    </row>
    <row r="341" spans="2:4" x14ac:dyDescent="0.35">
      <c r="B341" s="2" t="s">
        <v>41</v>
      </c>
      <c r="C341" s="1" t="s">
        <v>4</v>
      </c>
      <c r="D341" s="3">
        <v>32</v>
      </c>
    </row>
    <row r="342" spans="2:4" x14ac:dyDescent="0.35">
      <c r="B342" s="2" t="s">
        <v>41</v>
      </c>
      <c r="C342" s="1" t="s">
        <v>9</v>
      </c>
      <c r="D342" s="3">
        <v>13</v>
      </c>
    </row>
    <row r="343" spans="2:4" x14ac:dyDescent="0.35">
      <c r="B343" s="2" t="s">
        <v>41</v>
      </c>
      <c r="C343" s="1" t="s">
        <v>3</v>
      </c>
      <c r="D343" s="3">
        <v>41</v>
      </c>
    </row>
    <row r="344" spans="2:4" x14ac:dyDescent="0.35">
      <c r="B344" s="2" t="s">
        <v>41</v>
      </c>
      <c r="C344" s="1" t="s">
        <v>10</v>
      </c>
      <c r="D344" s="3">
        <v>13</v>
      </c>
    </row>
    <row r="345" spans="2:4" x14ac:dyDescent="0.35">
      <c r="B345" s="2" t="s">
        <v>41</v>
      </c>
      <c r="C345" s="1" t="s">
        <v>6</v>
      </c>
      <c r="D345" s="3">
        <v>54</v>
      </c>
    </row>
    <row r="346" spans="2:4" x14ac:dyDescent="0.35">
      <c r="B346" s="2" t="s">
        <v>41</v>
      </c>
      <c r="C346" s="1" t="s">
        <v>11</v>
      </c>
      <c r="D346" s="3">
        <v>35</v>
      </c>
    </row>
    <row r="347" spans="2:4" x14ac:dyDescent="0.35">
      <c r="B347" s="2" t="s">
        <v>41</v>
      </c>
      <c r="C347" s="1" t="s">
        <v>8</v>
      </c>
      <c r="D347" s="3">
        <v>88.449999999999989</v>
      </c>
    </row>
    <row r="348" spans="2:4" x14ac:dyDescent="0.35">
      <c r="B348" s="2" t="s">
        <v>41</v>
      </c>
      <c r="C348" s="1" t="s">
        <v>12</v>
      </c>
      <c r="D348" s="3">
        <v>4</v>
      </c>
    </row>
    <row r="349" spans="2:4" x14ac:dyDescent="0.35">
      <c r="B349" s="2" t="s">
        <v>41</v>
      </c>
      <c r="C349" s="1" t="s">
        <v>49</v>
      </c>
      <c r="D349" s="3">
        <v>5</v>
      </c>
    </row>
    <row r="350" spans="2:4" x14ac:dyDescent="0.35">
      <c r="B350" s="2" t="s">
        <v>41</v>
      </c>
      <c r="C350" s="1" t="s">
        <v>50</v>
      </c>
      <c r="D350" s="4">
        <v>16.05</v>
      </c>
    </row>
    <row r="351" spans="2:4" x14ac:dyDescent="0.35">
      <c r="B351" s="2" t="s">
        <v>42</v>
      </c>
      <c r="C351" s="1" t="s">
        <v>2</v>
      </c>
      <c r="D351" s="3">
        <v>67</v>
      </c>
    </row>
    <row r="352" spans="2:4" x14ac:dyDescent="0.35">
      <c r="B352" s="2" t="s">
        <v>42</v>
      </c>
      <c r="C352" s="1" t="s">
        <v>7</v>
      </c>
      <c r="D352" s="3">
        <v>56</v>
      </c>
    </row>
    <row r="353" spans="2:4" x14ac:dyDescent="0.35">
      <c r="B353" s="2" t="s">
        <v>42</v>
      </c>
      <c r="C353" s="1" t="s">
        <v>4</v>
      </c>
      <c r="D353" s="3">
        <v>31</v>
      </c>
    </row>
    <row r="354" spans="2:4" x14ac:dyDescent="0.35">
      <c r="B354" s="2" t="s">
        <v>42</v>
      </c>
      <c r="C354" s="1" t="s">
        <v>9</v>
      </c>
      <c r="D354" s="3">
        <v>18</v>
      </c>
    </row>
    <row r="355" spans="2:4" x14ac:dyDescent="0.35">
      <c r="B355" s="2" t="s">
        <v>42</v>
      </c>
      <c r="C355" s="1" t="s">
        <v>3</v>
      </c>
      <c r="D355" s="3">
        <v>47</v>
      </c>
    </row>
    <row r="356" spans="2:4" x14ac:dyDescent="0.35">
      <c r="B356" s="2" t="s">
        <v>42</v>
      </c>
      <c r="C356" s="1" t="s">
        <v>10</v>
      </c>
      <c r="D356" s="3">
        <v>17</v>
      </c>
    </row>
    <row r="357" spans="2:4" x14ac:dyDescent="0.35">
      <c r="B357" s="2" t="s">
        <v>42</v>
      </c>
      <c r="C357" s="1" t="s">
        <v>6</v>
      </c>
      <c r="D357" s="3">
        <v>66</v>
      </c>
    </row>
    <row r="358" spans="2:4" x14ac:dyDescent="0.35">
      <c r="B358" s="2" t="s">
        <v>42</v>
      </c>
      <c r="C358" s="1" t="s">
        <v>11</v>
      </c>
      <c r="D358" s="3">
        <v>30</v>
      </c>
    </row>
    <row r="359" spans="2:4" x14ac:dyDescent="0.35">
      <c r="B359" s="2" t="s">
        <v>42</v>
      </c>
      <c r="C359" s="1" t="s">
        <v>8</v>
      </c>
      <c r="D359" s="3">
        <v>102.92</v>
      </c>
    </row>
    <row r="360" spans="2:4" x14ac:dyDescent="0.35">
      <c r="B360" s="2" t="s">
        <v>42</v>
      </c>
      <c r="C360" s="1" t="s">
        <v>12</v>
      </c>
      <c r="D360" s="3">
        <v>3</v>
      </c>
    </row>
    <row r="361" spans="2:4" x14ac:dyDescent="0.35">
      <c r="B361" s="2" t="s">
        <v>42</v>
      </c>
      <c r="C361" s="1" t="s">
        <v>49</v>
      </c>
      <c r="D361" s="3">
        <v>4</v>
      </c>
    </row>
    <row r="362" spans="2:4" x14ac:dyDescent="0.35">
      <c r="B362" s="2" t="s">
        <v>42</v>
      </c>
      <c r="C362" s="1" t="s">
        <v>50</v>
      </c>
      <c r="D362" s="4">
        <v>18.360000000000003</v>
      </c>
    </row>
    <row r="363" spans="2:4" x14ac:dyDescent="0.35">
      <c r="B363" s="2" t="s">
        <v>43</v>
      </c>
      <c r="C363" s="1" t="s">
        <v>2</v>
      </c>
      <c r="D363" s="3">
        <v>70</v>
      </c>
    </row>
    <row r="364" spans="2:4" x14ac:dyDescent="0.35">
      <c r="B364" s="2" t="s">
        <v>43</v>
      </c>
      <c r="C364" s="1" t="s">
        <v>7</v>
      </c>
      <c r="D364" s="3">
        <v>52</v>
      </c>
    </row>
    <row r="365" spans="2:4" x14ac:dyDescent="0.35">
      <c r="B365" s="2" t="s">
        <v>43</v>
      </c>
      <c r="C365" s="1" t="s">
        <v>4</v>
      </c>
      <c r="D365" s="3">
        <v>37</v>
      </c>
    </row>
    <row r="366" spans="2:4" x14ac:dyDescent="0.35">
      <c r="B366" s="2" t="s">
        <v>43</v>
      </c>
      <c r="C366" s="1" t="s">
        <v>9</v>
      </c>
      <c r="D366" s="3">
        <v>10</v>
      </c>
    </row>
    <row r="367" spans="2:4" x14ac:dyDescent="0.35">
      <c r="B367" s="2" t="s">
        <v>43</v>
      </c>
      <c r="C367" s="1" t="s">
        <v>3</v>
      </c>
      <c r="D367" s="3">
        <v>35</v>
      </c>
    </row>
    <row r="368" spans="2:4" x14ac:dyDescent="0.35">
      <c r="B368" s="2" t="s">
        <v>43</v>
      </c>
      <c r="C368" s="1" t="s">
        <v>10</v>
      </c>
      <c r="D368" s="3">
        <v>18</v>
      </c>
    </row>
    <row r="369" spans="2:4" x14ac:dyDescent="0.35">
      <c r="B369" s="2" t="s">
        <v>43</v>
      </c>
      <c r="C369" s="1" t="s">
        <v>6</v>
      </c>
      <c r="D369" s="3">
        <v>59</v>
      </c>
    </row>
    <row r="370" spans="2:4" x14ac:dyDescent="0.35">
      <c r="B370" s="2" t="s">
        <v>43</v>
      </c>
      <c r="C370" s="1" t="s">
        <v>11</v>
      </c>
      <c r="D370" s="3">
        <v>35</v>
      </c>
    </row>
    <row r="371" spans="2:4" x14ac:dyDescent="0.35">
      <c r="B371" s="2" t="s">
        <v>43</v>
      </c>
      <c r="C371" s="1" t="s">
        <v>8</v>
      </c>
      <c r="D371" s="3">
        <v>104.28</v>
      </c>
    </row>
    <row r="372" spans="2:4" x14ac:dyDescent="0.35">
      <c r="B372" s="2" t="s">
        <v>43</v>
      </c>
      <c r="C372" s="1" t="s">
        <v>12</v>
      </c>
      <c r="D372" s="3">
        <v>3</v>
      </c>
    </row>
    <row r="373" spans="2:4" x14ac:dyDescent="0.35">
      <c r="B373" s="2" t="s">
        <v>43</v>
      </c>
      <c r="C373" s="1" t="s">
        <v>49</v>
      </c>
      <c r="D373" s="3">
        <v>5</v>
      </c>
    </row>
    <row r="374" spans="2:4" x14ac:dyDescent="0.35">
      <c r="B374" s="2" t="s">
        <v>43</v>
      </c>
      <c r="C374" s="1" t="s">
        <v>50</v>
      </c>
      <c r="D374" s="4">
        <v>17.240000000000002</v>
      </c>
    </row>
    <row r="375" spans="2:4" x14ac:dyDescent="0.35">
      <c r="B375" s="2" t="s">
        <v>44</v>
      </c>
      <c r="C375" s="1" t="s">
        <v>2</v>
      </c>
      <c r="D375" s="3">
        <v>75</v>
      </c>
    </row>
    <row r="376" spans="2:4" x14ac:dyDescent="0.35">
      <c r="B376" s="2" t="s">
        <v>44</v>
      </c>
      <c r="C376" s="1" t="s">
        <v>7</v>
      </c>
      <c r="D376" s="3">
        <v>47</v>
      </c>
    </row>
    <row r="377" spans="2:4" x14ac:dyDescent="0.35">
      <c r="B377" s="2" t="s">
        <v>44</v>
      </c>
      <c r="C377" s="1" t="s">
        <v>4</v>
      </c>
      <c r="D377" s="3">
        <v>27</v>
      </c>
    </row>
    <row r="378" spans="2:4" x14ac:dyDescent="0.35">
      <c r="B378" s="2" t="s">
        <v>44</v>
      </c>
      <c r="C378" s="1" t="s">
        <v>9</v>
      </c>
      <c r="D378" s="3">
        <v>19</v>
      </c>
    </row>
    <row r="379" spans="2:4" x14ac:dyDescent="0.35">
      <c r="B379" s="2" t="s">
        <v>44</v>
      </c>
      <c r="C379" s="1" t="s">
        <v>3</v>
      </c>
      <c r="D379" s="3">
        <v>45</v>
      </c>
    </row>
    <row r="380" spans="2:4" x14ac:dyDescent="0.35">
      <c r="B380" s="2" t="s">
        <v>44</v>
      </c>
      <c r="C380" s="1" t="s">
        <v>10</v>
      </c>
      <c r="D380" s="3">
        <v>11</v>
      </c>
    </row>
    <row r="381" spans="2:4" x14ac:dyDescent="0.35">
      <c r="B381" s="2" t="s">
        <v>44</v>
      </c>
      <c r="C381" s="1" t="s">
        <v>6</v>
      </c>
      <c r="D381" s="3">
        <v>59</v>
      </c>
    </row>
    <row r="382" spans="2:4" x14ac:dyDescent="0.35">
      <c r="B382" s="2" t="s">
        <v>44</v>
      </c>
      <c r="C382" s="1" t="s">
        <v>11</v>
      </c>
      <c r="D382" s="3">
        <v>30</v>
      </c>
    </row>
    <row r="383" spans="2:4" x14ac:dyDescent="0.35">
      <c r="B383" s="2" t="s">
        <v>44</v>
      </c>
      <c r="C383" s="1" t="s">
        <v>8</v>
      </c>
      <c r="D383" s="3">
        <v>78.25</v>
      </c>
    </row>
    <row r="384" spans="2:4" x14ac:dyDescent="0.35">
      <c r="B384" s="2" t="s">
        <v>44</v>
      </c>
      <c r="C384" s="1" t="s">
        <v>12</v>
      </c>
      <c r="D384" s="3">
        <v>4</v>
      </c>
    </row>
    <row r="385" spans="2:4" x14ac:dyDescent="0.35">
      <c r="B385" s="2" t="s">
        <v>44</v>
      </c>
      <c r="C385" s="1" t="s">
        <v>49</v>
      </c>
      <c r="D385" s="3">
        <v>5</v>
      </c>
    </row>
    <row r="386" spans="2:4" x14ac:dyDescent="0.35">
      <c r="B386" s="2" t="s">
        <v>44</v>
      </c>
      <c r="C386" s="1" t="s">
        <v>50</v>
      </c>
      <c r="D386" s="4">
        <v>17.840000000000003</v>
      </c>
    </row>
    <row r="387" spans="2:4" x14ac:dyDescent="0.35">
      <c r="B387" s="2" t="s">
        <v>45</v>
      </c>
      <c r="C387" s="1" t="s">
        <v>2</v>
      </c>
      <c r="D387" s="3">
        <v>65</v>
      </c>
    </row>
    <row r="388" spans="2:4" x14ac:dyDescent="0.35">
      <c r="B388" s="2" t="s">
        <v>45</v>
      </c>
      <c r="C388" s="1" t="s">
        <v>7</v>
      </c>
      <c r="D388" s="3">
        <v>47</v>
      </c>
    </row>
    <row r="389" spans="2:4" x14ac:dyDescent="0.35">
      <c r="B389" s="2" t="s">
        <v>45</v>
      </c>
      <c r="C389" s="1" t="s">
        <v>4</v>
      </c>
      <c r="D389" s="3">
        <v>38</v>
      </c>
    </row>
    <row r="390" spans="2:4" x14ac:dyDescent="0.35">
      <c r="B390" s="2" t="s">
        <v>45</v>
      </c>
      <c r="C390" s="1" t="s">
        <v>9</v>
      </c>
      <c r="D390" s="3">
        <v>13</v>
      </c>
    </row>
    <row r="391" spans="2:4" x14ac:dyDescent="0.35">
      <c r="B391" s="2" t="s">
        <v>45</v>
      </c>
      <c r="C391" s="1" t="s">
        <v>3</v>
      </c>
      <c r="D391" s="3">
        <v>39</v>
      </c>
    </row>
    <row r="392" spans="2:4" x14ac:dyDescent="0.35">
      <c r="B392" s="2" t="s">
        <v>45</v>
      </c>
      <c r="C392" s="1" t="s">
        <v>10</v>
      </c>
      <c r="D392" s="3">
        <v>11</v>
      </c>
    </row>
    <row r="393" spans="2:4" x14ac:dyDescent="0.35">
      <c r="B393" s="2" t="s">
        <v>45</v>
      </c>
      <c r="C393" s="1" t="s">
        <v>6</v>
      </c>
      <c r="D393" s="3">
        <v>58</v>
      </c>
    </row>
    <row r="394" spans="2:4" x14ac:dyDescent="0.35">
      <c r="B394" s="2" t="s">
        <v>45</v>
      </c>
      <c r="C394" s="1" t="s">
        <v>11</v>
      </c>
      <c r="D394" s="3">
        <v>32</v>
      </c>
    </row>
    <row r="395" spans="2:4" x14ac:dyDescent="0.35">
      <c r="B395" s="2" t="s">
        <v>45</v>
      </c>
      <c r="C395" s="1" t="s">
        <v>8</v>
      </c>
      <c r="D395" s="3">
        <v>78.78</v>
      </c>
    </row>
    <row r="396" spans="2:4" x14ac:dyDescent="0.35">
      <c r="B396" s="2" t="s">
        <v>45</v>
      </c>
      <c r="C396" s="1" t="s">
        <v>12</v>
      </c>
      <c r="D396" s="3">
        <v>3</v>
      </c>
    </row>
    <row r="397" spans="2:4" x14ac:dyDescent="0.35">
      <c r="B397" s="2" t="s">
        <v>45</v>
      </c>
      <c r="C397" s="1" t="s">
        <v>49</v>
      </c>
      <c r="D397" s="3">
        <v>4</v>
      </c>
    </row>
    <row r="398" spans="2:4" x14ac:dyDescent="0.35">
      <c r="B398" s="2" t="s">
        <v>45</v>
      </c>
      <c r="C398" s="1" t="s">
        <v>50</v>
      </c>
      <c r="D398" s="4">
        <v>17.170000000000002</v>
      </c>
    </row>
    <row r="399" spans="2:4" x14ac:dyDescent="0.35">
      <c r="B399" s="2" t="s">
        <v>46</v>
      </c>
      <c r="C399" s="1" t="s">
        <v>2</v>
      </c>
      <c r="D399" s="3">
        <v>72</v>
      </c>
    </row>
    <row r="400" spans="2:4" x14ac:dyDescent="0.35">
      <c r="B400" s="2" t="s">
        <v>46</v>
      </c>
      <c r="C400" s="1" t="s">
        <v>7</v>
      </c>
      <c r="D400" s="3">
        <v>51</v>
      </c>
    </row>
    <row r="401" spans="2:4" x14ac:dyDescent="0.35">
      <c r="B401" s="2" t="s">
        <v>46</v>
      </c>
      <c r="C401" s="1" t="s">
        <v>4</v>
      </c>
      <c r="D401" s="3">
        <v>34</v>
      </c>
    </row>
    <row r="402" spans="2:4" x14ac:dyDescent="0.35">
      <c r="B402" s="2" t="s">
        <v>46</v>
      </c>
      <c r="C402" s="1" t="s">
        <v>9</v>
      </c>
      <c r="D402" s="3">
        <v>16</v>
      </c>
    </row>
    <row r="403" spans="2:4" x14ac:dyDescent="0.35">
      <c r="B403" s="2" t="s">
        <v>46</v>
      </c>
      <c r="C403" s="1" t="s">
        <v>3</v>
      </c>
      <c r="D403" s="3">
        <v>39</v>
      </c>
    </row>
    <row r="404" spans="2:4" x14ac:dyDescent="0.35">
      <c r="B404" s="2" t="s">
        <v>46</v>
      </c>
      <c r="C404" s="1" t="s">
        <v>10</v>
      </c>
      <c r="D404" s="3">
        <v>10</v>
      </c>
    </row>
    <row r="405" spans="2:4" x14ac:dyDescent="0.35">
      <c r="B405" s="2" t="s">
        <v>46</v>
      </c>
      <c r="C405" s="1" t="s">
        <v>6</v>
      </c>
      <c r="D405" s="3">
        <v>64</v>
      </c>
    </row>
    <row r="406" spans="2:4" x14ac:dyDescent="0.35">
      <c r="B406" s="2" t="s">
        <v>46</v>
      </c>
      <c r="C406" s="1" t="s">
        <v>11</v>
      </c>
      <c r="D406" s="3">
        <v>35</v>
      </c>
    </row>
    <row r="407" spans="2:4" x14ac:dyDescent="0.35">
      <c r="B407" s="2" t="s">
        <v>46</v>
      </c>
      <c r="C407" s="1" t="s">
        <v>8</v>
      </c>
      <c r="D407" s="3">
        <v>83.460000000000008</v>
      </c>
    </row>
    <row r="408" spans="2:4" x14ac:dyDescent="0.35">
      <c r="B408" s="2" t="s">
        <v>46</v>
      </c>
      <c r="C408" s="1" t="s">
        <v>12</v>
      </c>
      <c r="D408" s="3">
        <v>3</v>
      </c>
    </row>
    <row r="409" spans="2:4" x14ac:dyDescent="0.35">
      <c r="B409" s="2" t="s">
        <v>46</v>
      </c>
      <c r="C409" s="1" t="s">
        <v>49</v>
      </c>
      <c r="D409" s="3">
        <v>5</v>
      </c>
    </row>
    <row r="410" spans="2:4" x14ac:dyDescent="0.35">
      <c r="B410" s="2" t="s">
        <v>46</v>
      </c>
      <c r="C410" s="1" t="s">
        <v>50</v>
      </c>
      <c r="D410" s="4">
        <v>18.05</v>
      </c>
    </row>
    <row r="411" spans="2:4" x14ac:dyDescent="0.35">
      <c r="B411" s="2" t="s">
        <v>47</v>
      </c>
      <c r="C411" s="1" t="s">
        <v>2</v>
      </c>
      <c r="D411" s="3">
        <v>64</v>
      </c>
    </row>
    <row r="412" spans="2:4" x14ac:dyDescent="0.35">
      <c r="B412" s="2" t="s">
        <v>47</v>
      </c>
      <c r="C412" s="1" t="s">
        <v>7</v>
      </c>
      <c r="D412" s="3">
        <v>52</v>
      </c>
    </row>
    <row r="413" spans="2:4" x14ac:dyDescent="0.35">
      <c r="B413" s="2" t="s">
        <v>47</v>
      </c>
      <c r="C413" s="1" t="s">
        <v>4</v>
      </c>
      <c r="D413" s="3">
        <v>37</v>
      </c>
    </row>
    <row r="414" spans="2:4" x14ac:dyDescent="0.35">
      <c r="B414" s="2" t="s">
        <v>47</v>
      </c>
      <c r="C414" s="1" t="s">
        <v>9</v>
      </c>
      <c r="D414" s="3">
        <v>15</v>
      </c>
    </row>
    <row r="415" spans="2:4" x14ac:dyDescent="0.35">
      <c r="B415" s="2" t="s">
        <v>47</v>
      </c>
      <c r="C415" s="1" t="s">
        <v>3</v>
      </c>
      <c r="D415" s="3">
        <v>50</v>
      </c>
    </row>
    <row r="416" spans="2:4" x14ac:dyDescent="0.35">
      <c r="B416" s="2" t="s">
        <v>47</v>
      </c>
      <c r="C416" s="1" t="s">
        <v>10</v>
      </c>
      <c r="D416" s="3">
        <v>14</v>
      </c>
    </row>
    <row r="417" spans="2:4" x14ac:dyDescent="0.35">
      <c r="B417" s="2" t="s">
        <v>47</v>
      </c>
      <c r="C417" s="1" t="s">
        <v>6</v>
      </c>
      <c r="D417" s="3">
        <v>58</v>
      </c>
    </row>
    <row r="418" spans="2:4" x14ac:dyDescent="0.35">
      <c r="B418" s="2" t="s">
        <v>47</v>
      </c>
      <c r="C418" s="1" t="s">
        <v>11</v>
      </c>
      <c r="D418" s="3">
        <v>33</v>
      </c>
    </row>
    <row r="419" spans="2:4" x14ac:dyDescent="0.35">
      <c r="B419" s="2" t="s">
        <v>47</v>
      </c>
      <c r="C419" s="1" t="s">
        <v>8</v>
      </c>
      <c r="D419" s="3">
        <v>87.210000000000008</v>
      </c>
    </row>
    <row r="420" spans="2:4" x14ac:dyDescent="0.35">
      <c r="B420" s="2" t="s">
        <v>47</v>
      </c>
      <c r="C420" s="1" t="s">
        <v>12</v>
      </c>
      <c r="D420" s="3">
        <v>3</v>
      </c>
    </row>
    <row r="421" spans="2:4" x14ac:dyDescent="0.35">
      <c r="B421" s="2" t="s">
        <v>47</v>
      </c>
      <c r="C421" s="1" t="s">
        <v>49</v>
      </c>
      <c r="D421" s="3">
        <v>5</v>
      </c>
    </row>
    <row r="422" spans="2:4" x14ac:dyDescent="0.35">
      <c r="B422" s="2" t="s">
        <v>47</v>
      </c>
      <c r="C422" s="1" t="s">
        <v>50</v>
      </c>
      <c r="D422" s="4">
        <v>18.010000000000002</v>
      </c>
    </row>
    <row r="423" spans="2:4" x14ac:dyDescent="0.35">
      <c r="B423" s="2" t="s">
        <v>48</v>
      </c>
      <c r="C423" s="1" t="s">
        <v>2</v>
      </c>
      <c r="D423" s="3">
        <v>66</v>
      </c>
    </row>
    <row r="424" spans="2:4" x14ac:dyDescent="0.35">
      <c r="B424" s="2" t="s">
        <v>48</v>
      </c>
      <c r="C424" s="1" t="s">
        <v>7</v>
      </c>
      <c r="D424" s="3">
        <v>56</v>
      </c>
    </row>
    <row r="425" spans="2:4" x14ac:dyDescent="0.35">
      <c r="B425" s="2" t="s">
        <v>48</v>
      </c>
      <c r="C425" s="1" t="s">
        <v>4</v>
      </c>
      <c r="D425" s="3">
        <v>38</v>
      </c>
    </row>
    <row r="426" spans="2:4" x14ac:dyDescent="0.35">
      <c r="B426" s="2" t="s">
        <v>48</v>
      </c>
      <c r="C426" s="1" t="s">
        <v>9</v>
      </c>
      <c r="D426" s="3">
        <v>13</v>
      </c>
    </row>
    <row r="427" spans="2:4" x14ac:dyDescent="0.35">
      <c r="B427" s="2" t="s">
        <v>48</v>
      </c>
      <c r="C427" s="1" t="s">
        <v>3</v>
      </c>
      <c r="D427" s="3">
        <v>41</v>
      </c>
    </row>
    <row r="428" spans="2:4" x14ac:dyDescent="0.35">
      <c r="B428" s="2" t="s">
        <v>48</v>
      </c>
      <c r="C428" s="1" t="s">
        <v>10</v>
      </c>
      <c r="D428" s="3">
        <v>18</v>
      </c>
    </row>
    <row r="429" spans="2:4" x14ac:dyDescent="0.35">
      <c r="B429" s="2" t="s">
        <v>48</v>
      </c>
      <c r="C429" s="1" t="s">
        <v>6</v>
      </c>
      <c r="D429" s="3">
        <v>65</v>
      </c>
    </row>
    <row r="430" spans="2:4" x14ac:dyDescent="0.35">
      <c r="B430" s="2" t="s">
        <v>48</v>
      </c>
      <c r="C430" s="1" t="s">
        <v>11</v>
      </c>
      <c r="D430" s="3">
        <v>30</v>
      </c>
    </row>
    <row r="431" spans="2:4" x14ac:dyDescent="0.35">
      <c r="B431" s="2" t="s">
        <v>48</v>
      </c>
      <c r="C431" s="1" t="s">
        <v>8</v>
      </c>
      <c r="D431" s="3">
        <v>91.56</v>
      </c>
    </row>
    <row r="432" spans="2:4" x14ac:dyDescent="0.35">
      <c r="B432" s="2" t="s">
        <v>48</v>
      </c>
      <c r="C432" s="1" t="s">
        <v>12</v>
      </c>
      <c r="D432" s="3">
        <v>4</v>
      </c>
    </row>
    <row r="433" spans="2:4" x14ac:dyDescent="0.35">
      <c r="B433" s="2" t="s">
        <v>48</v>
      </c>
      <c r="C433" s="1" t="s">
        <v>49</v>
      </c>
      <c r="D433" s="3">
        <v>4</v>
      </c>
    </row>
    <row r="434" spans="2:4" x14ac:dyDescent="0.35">
      <c r="B434" s="2" t="s">
        <v>48</v>
      </c>
      <c r="C434" s="1" t="s">
        <v>50</v>
      </c>
      <c r="D434" s="4">
        <v>18.130000000000003</v>
      </c>
    </row>
    <row r="435" spans="2:4" x14ac:dyDescent="0.35">
      <c r="B435" t="s">
        <v>24</v>
      </c>
      <c r="C435" t="s">
        <v>51</v>
      </c>
      <c r="D435">
        <v>524</v>
      </c>
    </row>
    <row r="436" spans="2:4" x14ac:dyDescent="0.35">
      <c r="B436" t="s">
        <v>36</v>
      </c>
      <c r="C436" t="s">
        <v>51</v>
      </c>
      <c r="D436">
        <v>550</v>
      </c>
    </row>
    <row r="437" spans="2:4" x14ac:dyDescent="0.35">
      <c r="B437" t="s">
        <v>48</v>
      </c>
      <c r="C437" t="s">
        <v>51</v>
      </c>
      <c r="D437">
        <v>628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E5CA3-36F6-4200-8BE2-9352F4FFE109}">
  <dimension ref="A1:C55"/>
  <sheetViews>
    <sheetView topLeftCell="A5" workbookViewId="0">
      <selection activeCell="F9" sqref="F9"/>
    </sheetView>
  </sheetViews>
  <sheetFormatPr defaultColWidth="9.1796875" defaultRowHeight="11.5" x14ac:dyDescent="0.25"/>
  <cols>
    <col min="1" max="1" width="26.453125" style="6" bestFit="1" customWidth="1"/>
    <col min="2" max="16384" width="9.1796875" style="6"/>
  </cols>
  <sheetData>
    <row r="1" spans="1:3" ht="12" thickBot="1" x14ac:dyDescent="0.3">
      <c r="A1" s="9" t="s">
        <v>65</v>
      </c>
      <c r="B1" s="10"/>
      <c r="C1" s="11">
        <v>42004</v>
      </c>
    </row>
    <row r="2" spans="1:3" ht="14.5" x14ac:dyDescent="0.35">
      <c r="A2" s="6" t="s">
        <v>66</v>
      </c>
      <c r="B2" s="12"/>
      <c r="C2" s="13">
        <v>44.609000000000002</v>
      </c>
    </row>
    <row r="3" spans="1:3" ht="14.5" x14ac:dyDescent="0.35">
      <c r="A3" s="6" t="s">
        <v>67</v>
      </c>
      <c r="B3" s="12"/>
      <c r="C3" s="13">
        <v>33.097000000000001</v>
      </c>
    </row>
    <row r="4" spans="1:3" ht="14.5" x14ac:dyDescent="0.35">
      <c r="A4" s="6" t="s">
        <v>68</v>
      </c>
      <c r="B4" s="12"/>
      <c r="C4" s="13">
        <v>31.658000000000001</v>
      </c>
    </row>
    <row r="5" spans="1:3" ht="14.5" x14ac:dyDescent="0.35">
      <c r="A5" s="6" t="s">
        <v>69</v>
      </c>
      <c r="B5" s="12"/>
      <c r="C5" s="13">
        <v>20.146000000000004</v>
      </c>
    </row>
    <row r="6" spans="1:3" ht="14.5" x14ac:dyDescent="0.35">
      <c r="A6" s="6" t="s">
        <v>70</v>
      </c>
      <c r="B6" s="12"/>
      <c r="C6" s="13">
        <v>14.39</v>
      </c>
    </row>
    <row r="7" spans="1:3" x14ac:dyDescent="0.25">
      <c r="A7" s="14" t="s">
        <v>71</v>
      </c>
      <c r="B7" s="14"/>
      <c r="C7" s="15">
        <v>143.9</v>
      </c>
    </row>
    <row r="8" spans="1:3" x14ac:dyDescent="0.25">
      <c r="A8" s="16"/>
      <c r="B8" s="16"/>
      <c r="C8" s="17"/>
    </row>
    <row r="9" spans="1:3" ht="14.5" x14ac:dyDescent="0.35">
      <c r="A9" s="6" t="s">
        <v>72</v>
      </c>
      <c r="B9" s="12"/>
      <c r="C9" s="13">
        <v>29.749999999999996</v>
      </c>
    </row>
    <row r="10" spans="1:3" ht="14.5" x14ac:dyDescent="0.35">
      <c r="A10" s="6" t="s">
        <v>73</v>
      </c>
      <c r="B10" s="12"/>
      <c r="C10" s="13">
        <v>18.7</v>
      </c>
    </row>
    <row r="11" spans="1:3" ht="14.5" x14ac:dyDescent="0.35">
      <c r="A11" s="6" t="s">
        <v>74</v>
      </c>
      <c r="B11" s="12"/>
      <c r="C11" s="13">
        <v>16.149999999999999</v>
      </c>
    </row>
    <row r="12" spans="1:3" ht="14.5" x14ac:dyDescent="0.35">
      <c r="A12" s="6" t="s">
        <v>75</v>
      </c>
      <c r="B12" s="12"/>
      <c r="C12" s="13">
        <v>11.05</v>
      </c>
    </row>
    <row r="13" spans="1:3" ht="14.5" x14ac:dyDescent="0.35">
      <c r="A13" s="6" t="s">
        <v>76</v>
      </c>
      <c r="B13" s="12"/>
      <c r="C13" s="13">
        <v>9.35</v>
      </c>
    </row>
    <row r="14" spans="1:3" x14ac:dyDescent="0.25">
      <c r="A14" s="14" t="s">
        <v>77</v>
      </c>
      <c r="B14" s="14"/>
      <c r="C14" s="15">
        <v>84.999999999999986</v>
      </c>
    </row>
    <row r="16" spans="1:3" ht="14.5" x14ac:dyDescent="0.35">
      <c r="A16" s="6" t="s">
        <v>78</v>
      </c>
      <c r="B16" s="12"/>
      <c r="C16" s="13">
        <v>346.47500000000002</v>
      </c>
    </row>
    <row r="17" spans="1:3" ht="14.5" x14ac:dyDescent="0.35">
      <c r="A17" s="6" t="s">
        <v>79</v>
      </c>
      <c r="B17" s="12"/>
      <c r="C17" s="13">
        <v>139.52500000000001</v>
      </c>
    </row>
    <row r="18" spans="1:3" ht="14.5" x14ac:dyDescent="0.35">
      <c r="A18" s="6" t="s">
        <v>80</v>
      </c>
      <c r="B18" s="12"/>
      <c r="C18" s="13">
        <v>125.575</v>
      </c>
    </row>
    <row r="19" spans="1:3" ht="14.5" x14ac:dyDescent="0.35">
      <c r="A19" s="6" t="s">
        <v>81</v>
      </c>
      <c r="B19" s="12"/>
      <c r="C19" s="13">
        <v>20.925000000000001</v>
      </c>
    </row>
    <row r="20" spans="1:3" x14ac:dyDescent="0.25">
      <c r="A20" s="14" t="s">
        <v>82</v>
      </c>
      <c r="B20" s="14"/>
      <c r="C20" s="15">
        <v>632.5</v>
      </c>
    </row>
    <row r="22" spans="1:3" ht="14.5" x14ac:dyDescent="0.35">
      <c r="A22" s="6" t="s">
        <v>83</v>
      </c>
      <c r="B22" s="12"/>
      <c r="C22" s="18">
        <v>16.12</v>
      </c>
    </row>
    <row r="23" spans="1:3" ht="14.5" x14ac:dyDescent="0.35">
      <c r="A23" s="6" t="s">
        <v>84</v>
      </c>
      <c r="B23" s="12"/>
      <c r="C23" s="18">
        <v>6.2</v>
      </c>
    </row>
    <row r="24" spans="1:3" ht="14.5" x14ac:dyDescent="0.35">
      <c r="A24" s="6" t="s">
        <v>85</v>
      </c>
      <c r="B24" s="12"/>
      <c r="C24" s="18">
        <v>2.4800000000000004</v>
      </c>
    </row>
    <row r="25" spans="1:3" x14ac:dyDescent="0.25">
      <c r="A25" s="14" t="s">
        <v>86</v>
      </c>
      <c r="B25" s="14"/>
      <c r="C25" s="14">
        <v>24.8</v>
      </c>
    </row>
    <row r="27" spans="1:3" ht="14.5" x14ac:dyDescent="0.35">
      <c r="A27" s="6" t="s">
        <v>87</v>
      </c>
      <c r="B27" s="12"/>
      <c r="C27" s="6">
        <v>45.9</v>
      </c>
    </row>
    <row r="28" spans="1:3" x14ac:dyDescent="0.25">
      <c r="A28" s="14" t="s">
        <v>87</v>
      </c>
      <c r="B28" s="14"/>
      <c r="C28" s="14">
        <v>45.9</v>
      </c>
    </row>
    <row r="29" spans="1:3" x14ac:dyDescent="0.25">
      <c r="A29" s="16"/>
      <c r="B29" s="16"/>
      <c r="C29" s="16"/>
    </row>
    <row r="30" spans="1:3" ht="12" thickBot="1" x14ac:dyDescent="0.3">
      <c r="A30" s="19" t="s">
        <v>88</v>
      </c>
      <c r="B30" s="19"/>
      <c r="C30" s="20">
        <v>932.09999999999991</v>
      </c>
    </row>
    <row r="32" spans="1:3" ht="14.5" x14ac:dyDescent="0.35">
      <c r="A32" s="6" t="s">
        <v>89</v>
      </c>
      <c r="B32" s="12"/>
      <c r="C32" s="13">
        <v>17</v>
      </c>
    </row>
    <row r="33" spans="1:3" ht="14.5" x14ac:dyDescent="0.35">
      <c r="A33" s="6" t="s">
        <v>90</v>
      </c>
      <c r="B33" s="12"/>
      <c r="C33" s="13">
        <v>17</v>
      </c>
    </row>
    <row r="34" spans="1:3" ht="14.5" x14ac:dyDescent="0.35">
      <c r="A34" s="6" t="s">
        <v>91</v>
      </c>
      <c r="B34" s="12"/>
      <c r="C34" s="13">
        <v>14.96</v>
      </c>
    </row>
    <row r="35" spans="1:3" ht="14.5" x14ac:dyDescent="0.35">
      <c r="A35" s="6" t="s">
        <v>92</v>
      </c>
      <c r="B35" s="12"/>
      <c r="C35" s="13">
        <v>10.199999999999999</v>
      </c>
    </row>
    <row r="36" spans="1:3" ht="14.5" x14ac:dyDescent="0.35">
      <c r="A36" s="6" t="s">
        <v>93</v>
      </c>
      <c r="B36" s="12"/>
      <c r="C36" s="13">
        <v>8.84</v>
      </c>
    </row>
    <row r="37" spans="1:3" x14ac:dyDescent="0.25">
      <c r="A37" s="14" t="s">
        <v>94</v>
      </c>
      <c r="B37" s="14"/>
      <c r="C37" s="15">
        <v>68</v>
      </c>
    </row>
    <row r="38" spans="1:3" x14ac:dyDescent="0.25">
      <c r="A38" s="16"/>
      <c r="B38" s="16"/>
      <c r="C38" s="17"/>
    </row>
    <row r="39" spans="1:3" ht="14.5" x14ac:dyDescent="0.35">
      <c r="A39" s="6" t="s">
        <v>95</v>
      </c>
      <c r="B39" s="12"/>
      <c r="C39" s="13">
        <v>22.424999999999997</v>
      </c>
    </row>
    <row r="40" spans="1:3" ht="14.5" x14ac:dyDescent="0.35">
      <c r="A40" s="6" t="s">
        <v>96</v>
      </c>
      <c r="B40" s="12"/>
      <c r="C40" s="13">
        <v>6.8250000000000002</v>
      </c>
    </row>
    <row r="41" spans="1:3" ht="14.5" x14ac:dyDescent="0.35">
      <c r="A41" s="6" t="s">
        <v>97</v>
      </c>
      <c r="B41" s="12"/>
      <c r="C41" s="13">
        <v>3.25</v>
      </c>
    </row>
    <row r="42" spans="1:3" x14ac:dyDescent="0.25">
      <c r="A42" s="14" t="s">
        <v>98</v>
      </c>
      <c r="B42" s="14"/>
      <c r="C42" s="14">
        <v>32.5</v>
      </c>
    </row>
    <row r="44" spans="1:3" ht="14.5" x14ac:dyDescent="0.35">
      <c r="A44" s="6" t="s">
        <v>99</v>
      </c>
      <c r="B44" s="12"/>
      <c r="C44" s="6">
        <v>615.79999999999995</v>
      </c>
    </row>
    <row r="45" spans="1:3" x14ac:dyDescent="0.25">
      <c r="A45" s="14" t="s">
        <v>100</v>
      </c>
      <c r="B45" s="14"/>
      <c r="C45" s="14">
        <v>615.79999999999995</v>
      </c>
    </row>
    <row r="47" spans="1:3" ht="14.5" x14ac:dyDescent="0.35">
      <c r="A47" s="6" t="s">
        <v>101</v>
      </c>
      <c r="B47" s="12"/>
      <c r="C47" s="6">
        <v>48.3</v>
      </c>
    </row>
    <row r="48" spans="1:3" x14ac:dyDescent="0.25">
      <c r="A48" s="14" t="s">
        <v>101</v>
      </c>
      <c r="B48" s="14"/>
      <c r="C48" s="14">
        <v>48.3</v>
      </c>
    </row>
    <row r="50" spans="1:3" ht="14.5" x14ac:dyDescent="0.35">
      <c r="A50" s="6" t="s">
        <v>102</v>
      </c>
      <c r="B50" s="12"/>
      <c r="C50" s="13">
        <v>132.32500000000002</v>
      </c>
    </row>
    <row r="51" spans="1:3" ht="14.5" x14ac:dyDescent="0.35">
      <c r="A51" s="6" t="s">
        <v>103</v>
      </c>
      <c r="B51" s="12"/>
      <c r="C51" s="13">
        <v>18.425000000000001</v>
      </c>
    </row>
    <row r="52" spans="1:3" ht="14.5" x14ac:dyDescent="0.35">
      <c r="A52" s="6" t="s">
        <v>104</v>
      </c>
      <c r="B52" s="12"/>
      <c r="C52" s="13">
        <v>16.75</v>
      </c>
    </row>
    <row r="53" spans="1:3" x14ac:dyDescent="0.25">
      <c r="A53" s="14" t="s">
        <v>105</v>
      </c>
      <c r="B53" s="14"/>
      <c r="C53" s="14">
        <v>167.50000000000003</v>
      </c>
    </row>
    <row r="55" spans="1:3" ht="12" thickBot="1" x14ac:dyDescent="0.3">
      <c r="A55" s="19" t="s">
        <v>106</v>
      </c>
      <c r="B55" s="19"/>
      <c r="C55" s="19">
        <v>932.1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BA32-B2DD-4E72-96BF-656AF4274758}">
  <dimension ref="A1:C55"/>
  <sheetViews>
    <sheetView workbookViewId="0">
      <selection activeCell="F11" sqref="F11"/>
    </sheetView>
  </sheetViews>
  <sheetFormatPr defaultColWidth="9.1796875" defaultRowHeight="11.5" x14ac:dyDescent="0.25"/>
  <cols>
    <col min="1" max="1" width="26.453125" style="6" bestFit="1" customWidth="1"/>
    <col min="2" max="16384" width="9.1796875" style="6"/>
  </cols>
  <sheetData>
    <row r="1" spans="1:3" ht="12" thickBot="1" x14ac:dyDescent="0.3">
      <c r="A1" s="9" t="s">
        <v>65</v>
      </c>
      <c r="B1" s="9" t="s">
        <v>107</v>
      </c>
      <c r="C1" s="11">
        <v>42369</v>
      </c>
    </row>
    <row r="2" spans="1:3" x14ac:dyDescent="0.25">
      <c r="A2" s="6" t="s">
        <v>66</v>
      </c>
      <c r="B2" s="6" t="s">
        <v>108</v>
      </c>
      <c r="C2" s="13">
        <v>40.248000000000005</v>
      </c>
    </row>
    <row r="3" spans="1:3" x14ac:dyDescent="0.25">
      <c r="A3" s="6" t="s">
        <v>68</v>
      </c>
      <c r="B3" s="6" t="s">
        <v>108</v>
      </c>
      <c r="C3" s="13">
        <v>34.056000000000004</v>
      </c>
    </row>
    <row r="4" spans="1:3" x14ac:dyDescent="0.25">
      <c r="A4" s="6" t="s">
        <v>67</v>
      </c>
      <c r="B4" s="6" t="s">
        <v>108</v>
      </c>
      <c r="C4" s="13">
        <v>29.412000000000003</v>
      </c>
    </row>
    <row r="5" spans="1:3" x14ac:dyDescent="0.25">
      <c r="A5" s="6" t="s">
        <v>69</v>
      </c>
      <c r="B5" s="6" t="s">
        <v>108</v>
      </c>
      <c r="C5" s="13">
        <v>27.864000000000001</v>
      </c>
    </row>
    <row r="6" spans="1:3" x14ac:dyDescent="0.25">
      <c r="A6" s="6" t="s">
        <v>70</v>
      </c>
      <c r="B6" s="6" t="s">
        <v>108</v>
      </c>
      <c r="C6" s="13">
        <v>23.220000000000002</v>
      </c>
    </row>
    <row r="7" spans="1:3" x14ac:dyDescent="0.25">
      <c r="A7" s="14" t="s">
        <v>71</v>
      </c>
      <c r="B7" s="14"/>
      <c r="C7" s="15">
        <v>154.80000000000001</v>
      </c>
    </row>
    <row r="9" spans="1:3" x14ac:dyDescent="0.25">
      <c r="A9" s="6" t="s">
        <v>72</v>
      </c>
      <c r="B9" s="6" t="s">
        <v>109</v>
      </c>
      <c r="C9" s="13">
        <v>24.840000000000003</v>
      </c>
    </row>
    <row r="10" spans="1:3" x14ac:dyDescent="0.25">
      <c r="A10" s="6" t="s">
        <v>73</v>
      </c>
      <c r="B10" s="6" t="s">
        <v>109</v>
      </c>
      <c r="C10" s="13">
        <v>20.239999999999998</v>
      </c>
    </row>
    <row r="11" spans="1:3" x14ac:dyDescent="0.25">
      <c r="A11" s="6" t="s">
        <v>74</v>
      </c>
      <c r="B11" s="6" t="s">
        <v>109</v>
      </c>
      <c r="C11" s="13">
        <v>17.48</v>
      </c>
    </row>
    <row r="12" spans="1:3" x14ac:dyDescent="0.25">
      <c r="A12" s="6" t="s">
        <v>76</v>
      </c>
      <c r="B12" s="6" t="s">
        <v>109</v>
      </c>
      <c r="C12" s="13">
        <v>17.48</v>
      </c>
    </row>
    <row r="13" spans="1:3" x14ac:dyDescent="0.25">
      <c r="A13" s="6" t="s">
        <v>75</v>
      </c>
      <c r="B13" s="6" t="s">
        <v>109</v>
      </c>
      <c r="C13" s="13">
        <v>11.96</v>
      </c>
    </row>
    <row r="14" spans="1:3" x14ac:dyDescent="0.25">
      <c r="A14" s="14" t="s">
        <v>77</v>
      </c>
      <c r="B14" s="14" t="s">
        <v>109</v>
      </c>
      <c r="C14" s="15">
        <v>92.000000000000014</v>
      </c>
    </row>
    <row r="16" spans="1:3" x14ac:dyDescent="0.25">
      <c r="A16" s="6" t="s">
        <v>78</v>
      </c>
      <c r="B16" s="6" t="s">
        <v>110</v>
      </c>
      <c r="C16" s="13">
        <v>346.47500000000002</v>
      </c>
    </row>
    <row r="17" spans="1:3" x14ac:dyDescent="0.25">
      <c r="A17" s="6" t="s">
        <v>79</v>
      </c>
      <c r="B17" s="6" t="s">
        <v>110</v>
      </c>
      <c r="C17" s="13">
        <v>139.52500000000001</v>
      </c>
    </row>
    <row r="18" spans="1:3" x14ac:dyDescent="0.25">
      <c r="A18" s="6" t="s">
        <v>80</v>
      </c>
      <c r="B18" s="6" t="s">
        <v>110</v>
      </c>
      <c r="C18" s="13">
        <v>125.575</v>
      </c>
    </row>
    <row r="19" spans="1:3" x14ac:dyDescent="0.25">
      <c r="A19" s="6" t="s">
        <v>81</v>
      </c>
      <c r="B19" s="6" t="s">
        <v>110</v>
      </c>
      <c r="C19" s="13">
        <v>20.925000000000001</v>
      </c>
    </row>
    <row r="20" spans="1:3" x14ac:dyDescent="0.25">
      <c r="A20" s="14" t="s">
        <v>82</v>
      </c>
      <c r="B20" s="14" t="s">
        <v>110</v>
      </c>
      <c r="C20" s="15">
        <v>632.5</v>
      </c>
    </row>
    <row r="22" spans="1:3" x14ac:dyDescent="0.25">
      <c r="A22" s="6" t="s">
        <v>83</v>
      </c>
      <c r="B22" s="6" t="s">
        <v>111</v>
      </c>
      <c r="C22" s="18">
        <v>13.298</v>
      </c>
    </row>
    <row r="23" spans="1:3" x14ac:dyDescent="0.25">
      <c r="A23" s="6" t="s">
        <v>84</v>
      </c>
      <c r="B23" s="6" t="s">
        <v>111</v>
      </c>
      <c r="C23" s="18">
        <v>5.45</v>
      </c>
    </row>
    <row r="24" spans="1:3" x14ac:dyDescent="0.25">
      <c r="A24" s="6" t="s">
        <v>85</v>
      </c>
      <c r="B24" s="6" t="s">
        <v>111</v>
      </c>
      <c r="C24" s="18">
        <v>3.0520000000000005</v>
      </c>
    </row>
    <row r="25" spans="1:3" x14ac:dyDescent="0.25">
      <c r="A25" s="14" t="s">
        <v>86</v>
      </c>
      <c r="B25" s="14"/>
      <c r="C25" s="14">
        <v>21.8</v>
      </c>
    </row>
    <row r="27" spans="1:3" x14ac:dyDescent="0.25">
      <c r="A27" s="6" t="s">
        <v>87</v>
      </c>
      <c r="B27" s="6" t="s">
        <v>112</v>
      </c>
      <c r="C27" s="6">
        <v>46.9</v>
      </c>
    </row>
    <row r="28" spans="1:3" x14ac:dyDescent="0.25">
      <c r="A28" s="14" t="s">
        <v>87</v>
      </c>
      <c r="B28" s="14"/>
      <c r="C28" s="14">
        <v>46.9</v>
      </c>
    </row>
    <row r="29" spans="1:3" x14ac:dyDescent="0.25">
      <c r="A29" s="16"/>
      <c r="B29" s="16"/>
      <c r="C29" s="16"/>
    </row>
    <row r="30" spans="1:3" ht="12" thickBot="1" x14ac:dyDescent="0.3">
      <c r="A30" s="19" t="s">
        <v>88</v>
      </c>
      <c r="B30" s="19"/>
      <c r="C30" s="21">
        <v>947.99999999999989</v>
      </c>
    </row>
    <row r="32" spans="1:3" x14ac:dyDescent="0.25">
      <c r="A32" s="6" t="s">
        <v>89</v>
      </c>
      <c r="B32" s="6" t="s">
        <v>113</v>
      </c>
      <c r="C32" s="13">
        <v>19.981000000000002</v>
      </c>
    </row>
    <row r="33" spans="1:3" x14ac:dyDescent="0.25">
      <c r="A33" s="6" t="s">
        <v>93</v>
      </c>
      <c r="B33" s="6" t="s">
        <v>113</v>
      </c>
      <c r="C33" s="13">
        <v>15.847000000000001</v>
      </c>
    </row>
    <row r="34" spans="1:3" x14ac:dyDescent="0.25">
      <c r="A34" s="6" t="s">
        <v>90</v>
      </c>
      <c r="B34" s="6" t="s">
        <v>113</v>
      </c>
      <c r="C34" s="13">
        <v>14.469000000000001</v>
      </c>
    </row>
    <row r="35" spans="1:3" x14ac:dyDescent="0.25">
      <c r="A35" s="6" t="s">
        <v>92</v>
      </c>
      <c r="B35" s="6" t="s">
        <v>113</v>
      </c>
      <c r="C35" s="13">
        <v>10.335000000000001</v>
      </c>
    </row>
    <row r="36" spans="1:3" x14ac:dyDescent="0.25">
      <c r="A36" s="6" t="s">
        <v>91</v>
      </c>
      <c r="B36" s="6" t="s">
        <v>113</v>
      </c>
      <c r="C36" s="13">
        <v>8.2680000000000007</v>
      </c>
    </row>
    <row r="37" spans="1:3" x14ac:dyDescent="0.25">
      <c r="A37" s="14" t="s">
        <v>94</v>
      </c>
      <c r="B37" s="14"/>
      <c r="C37" s="15">
        <v>68.900000000000006</v>
      </c>
    </row>
    <row r="39" spans="1:3" x14ac:dyDescent="0.25">
      <c r="A39" s="6" t="s">
        <v>95</v>
      </c>
      <c r="B39" s="6" t="s">
        <v>110</v>
      </c>
      <c r="C39" s="13">
        <v>17.506999999999998</v>
      </c>
    </row>
    <row r="40" spans="1:3" x14ac:dyDescent="0.25">
      <c r="A40" s="6" t="s">
        <v>96</v>
      </c>
      <c r="B40" s="6" t="s">
        <v>110</v>
      </c>
      <c r="C40" s="13">
        <v>6.601</v>
      </c>
    </row>
    <row r="41" spans="1:3" x14ac:dyDescent="0.25">
      <c r="A41" s="6" t="s">
        <v>97</v>
      </c>
      <c r="B41" s="6" t="s">
        <v>110</v>
      </c>
      <c r="C41" s="13">
        <v>4.5919999999999996</v>
      </c>
    </row>
    <row r="42" spans="1:3" x14ac:dyDescent="0.25">
      <c r="A42" s="14" t="s">
        <v>98</v>
      </c>
      <c r="B42" s="14"/>
      <c r="C42" s="14">
        <v>28.699999999999996</v>
      </c>
    </row>
    <row r="44" spans="1:3" x14ac:dyDescent="0.25">
      <c r="A44" s="6" t="s">
        <v>99</v>
      </c>
      <c r="B44" s="6" t="s">
        <v>114</v>
      </c>
      <c r="C44" s="6">
        <v>610.4</v>
      </c>
    </row>
    <row r="45" spans="1:3" x14ac:dyDescent="0.25">
      <c r="A45" s="14" t="s">
        <v>100</v>
      </c>
      <c r="B45" s="14"/>
      <c r="C45" s="14">
        <v>610.4</v>
      </c>
    </row>
    <row r="47" spans="1:3" x14ac:dyDescent="0.25">
      <c r="A47" s="6" t="s">
        <v>101</v>
      </c>
      <c r="B47" s="6" t="s">
        <v>112</v>
      </c>
      <c r="C47" s="6">
        <v>43.3</v>
      </c>
    </row>
    <row r="48" spans="1:3" x14ac:dyDescent="0.25">
      <c r="A48" s="14" t="s">
        <v>101</v>
      </c>
      <c r="B48" s="14"/>
      <c r="C48" s="14">
        <v>43.3</v>
      </c>
    </row>
    <row r="50" spans="1:3" x14ac:dyDescent="0.25">
      <c r="A50" s="6" t="s">
        <v>102</v>
      </c>
      <c r="B50" s="6" t="s">
        <v>115</v>
      </c>
      <c r="C50" s="13">
        <v>161.52499999999998</v>
      </c>
    </row>
    <row r="51" spans="1:3" x14ac:dyDescent="0.25">
      <c r="A51" s="6" t="s">
        <v>103</v>
      </c>
      <c r="B51" s="6" t="s">
        <v>115</v>
      </c>
      <c r="C51" s="13">
        <v>18.425000000000001</v>
      </c>
    </row>
    <row r="52" spans="1:3" x14ac:dyDescent="0.25">
      <c r="A52" s="6" t="s">
        <v>104</v>
      </c>
      <c r="B52" s="6" t="s">
        <v>115</v>
      </c>
      <c r="C52" s="13">
        <v>16.75</v>
      </c>
    </row>
    <row r="53" spans="1:3" x14ac:dyDescent="0.25">
      <c r="A53" s="14" t="s">
        <v>105</v>
      </c>
      <c r="B53" s="14"/>
      <c r="C53" s="14">
        <v>196.7</v>
      </c>
    </row>
    <row r="55" spans="1:3" ht="12" thickBot="1" x14ac:dyDescent="0.3">
      <c r="A55" s="19" t="s">
        <v>106</v>
      </c>
      <c r="B55" s="19"/>
      <c r="C55" s="21">
        <v>948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F2555-52DB-490B-9B96-89028A0FAA35}">
  <dimension ref="A1:D55"/>
  <sheetViews>
    <sheetView workbookViewId="0">
      <selection activeCell="J9" sqref="J9"/>
    </sheetView>
  </sheetViews>
  <sheetFormatPr defaultColWidth="9.1796875" defaultRowHeight="11.5" x14ac:dyDescent="0.25"/>
  <cols>
    <col min="1" max="1" width="26.453125" style="6" bestFit="1" customWidth="1"/>
    <col min="2" max="16384" width="9.1796875" style="6"/>
  </cols>
  <sheetData>
    <row r="1" spans="1:4" ht="12" thickBot="1" x14ac:dyDescent="0.3">
      <c r="A1" s="9" t="s">
        <v>65</v>
      </c>
      <c r="B1" s="11" t="s">
        <v>107</v>
      </c>
      <c r="C1" s="11" t="s">
        <v>116</v>
      </c>
      <c r="D1" s="11">
        <v>42735</v>
      </c>
    </row>
    <row r="2" spans="1:4" x14ac:dyDescent="0.25">
      <c r="A2" s="6" t="s">
        <v>66</v>
      </c>
      <c r="B2" s="6" t="s">
        <v>108</v>
      </c>
      <c r="C2" s="6" t="s">
        <v>117</v>
      </c>
      <c r="D2" s="13">
        <v>44.018000000000008</v>
      </c>
    </row>
    <row r="3" spans="1:4" x14ac:dyDescent="0.25">
      <c r="A3" s="6" t="s">
        <v>68</v>
      </c>
      <c r="B3" s="6" t="s">
        <v>108</v>
      </c>
      <c r="C3" s="6" t="s">
        <v>117</v>
      </c>
      <c r="D3" s="13">
        <v>40.631999999999998</v>
      </c>
    </row>
    <row r="4" spans="1:4" x14ac:dyDescent="0.25">
      <c r="A4" s="6" t="s">
        <v>67</v>
      </c>
      <c r="B4" s="6" t="s">
        <v>108</v>
      </c>
      <c r="C4" s="6" t="s">
        <v>117</v>
      </c>
      <c r="D4" s="13">
        <v>32.167000000000002</v>
      </c>
    </row>
    <row r="5" spans="1:4" x14ac:dyDescent="0.25">
      <c r="A5" s="6" t="s">
        <v>69</v>
      </c>
      <c r="B5" s="6" t="s">
        <v>108</v>
      </c>
      <c r="C5" s="6" t="s">
        <v>117</v>
      </c>
      <c r="D5" s="13">
        <v>27.088000000000001</v>
      </c>
    </row>
    <row r="6" spans="1:4" x14ac:dyDescent="0.25">
      <c r="A6" s="6" t="s">
        <v>70</v>
      </c>
      <c r="B6" s="6" t="s">
        <v>108</v>
      </c>
      <c r="C6" s="6" t="s">
        <v>117</v>
      </c>
      <c r="D6" s="13">
        <v>25.395</v>
      </c>
    </row>
    <row r="7" spans="1:4" x14ac:dyDescent="0.25">
      <c r="A7" s="14" t="s">
        <v>71</v>
      </c>
      <c r="B7" s="14"/>
      <c r="C7" s="14"/>
      <c r="D7" s="15">
        <v>169.3</v>
      </c>
    </row>
    <row r="9" spans="1:4" x14ac:dyDescent="0.25">
      <c r="A9" s="6" t="s">
        <v>72</v>
      </c>
      <c r="B9" s="6" t="s">
        <v>109</v>
      </c>
      <c r="C9" s="6" t="s">
        <v>117</v>
      </c>
      <c r="D9" s="13">
        <v>26.4</v>
      </c>
    </row>
    <row r="10" spans="1:4" x14ac:dyDescent="0.25">
      <c r="A10" s="6" t="s">
        <v>73</v>
      </c>
      <c r="B10" s="6" t="s">
        <v>109</v>
      </c>
      <c r="C10" s="6" t="s">
        <v>117</v>
      </c>
      <c r="D10" s="13">
        <v>25.3</v>
      </c>
    </row>
    <row r="11" spans="1:4" x14ac:dyDescent="0.25">
      <c r="A11" s="6" t="s">
        <v>74</v>
      </c>
      <c r="B11" s="6" t="s">
        <v>109</v>
      </c>
      <c r="C11" s="6" t="s">
        <v>117</v>
      </c>
      <c r="D11" s="13">
        <v>20.9</v>
      </c>
    </row>
    <row r="12" spans="1:4" x14ac:dyDescent="0.25">
      <c r="A12" s="6" t="s">
        <v>76</v>
      </c>
      <c r="B12" s="6" t="s">
        <v>109</v>
      </c>
      <c r="C12" s="6" t="s">
        <v>117</v>
      </c>
      <c r="D12" s="13">
        <v>20.9</v>
      </c>
    </row>
    <row r="13" spans="1:4" x14ac:dyDescent="0.25">
      <c r="A13" s="6" t="s">
        <v>75</v>
      </c>
      <c r="B13" s="6" t="s">
        <v>109</v>
      </c>
      <c r="C13" s="6" t="s">
        <v>117</v>
      </c>
      <c r="D13" s="13">
        <v>16.5</v>
      </c>
    </row>
    <row r="14" spans="1:4" x14ac:dyDescent="0.25">
      <c r="A14" s="14" t="s">
        <v>77</v>
      </c>
      <c r="B14" s="14" t="s">
        <v>109</v>
      </c>
      <c r="C14" s="14"/>
      <c r="D14" s="15">
        <v>110</v>
      </c>
    </row>
    <row r="16" spans="1:4" x14ac:dyDescent="0.25">
      <c r="A16" s="6" t="s">
        <v>78</v>
      </c>
      <c r="B16" s="6" t="s">
        <v>110</v>
      </c>
      <c r="C16" s="6" t="s">
        <v>117</v>
      </c>
      <c r="D16" s="13">
        <v>350.51</v>
      </c>
    </row>
    <row r="17" spans="1:4" x14ac:dyDescent="0.25">
      <c r="A17" s="6" t="s">
        <v>79</v>
      </c>
      <c r="B17" s="6" t="s">
        <v>110</v>
      </c>
      <c r="C17" s="6" t="s">
        <v>117</v>
      </c>
      <c r="D17" s="13">
        <v>146.71</v>
      </c>
    </row>
    <row r="18" spans="1:4" x14ac:dyDescent="0.25">
      <c r="A18" s="6" t="s">
        <v>80</v>
      </c>
      <c r="B18" s="6" t="s">
        <v>110</v>
      </c>
      <c r="C18" s="6" t="s">
        <v>117</v>
      </c>
      <c r="D18" s="13">
        <v>133.73500000000001</v>
      </c>
    </row>
    <row r="19" spans="1:4" x14ac:dyDescent="0.25">
      <c r="A19" s="6" t="s">
        <v>81</v>
      </c>
      <c r="B19" s="6" t="s">
        <v>110</v>
      </c>
      <c r="C19" s="6" t="s">
        <v>117</v>
      </c>
      <c r="D19" s="13">
        <v>28.545000000000002</v>
      </c>
    </row>
    <row r="20" spans="1:4" x14ac:dyDescent="0.25">
      <c r="A20" s="14" t="s">
        <v>82</v>
      </c>
      <c r="B20" s="14"/>
      <c r="C20" s="14"/>
      <c r="D20" s="15">
        <v>659.5</v>
      </c>
    </row>
    <row r="22" spans="1:4" x14ac:dyDescent="0.25">
      <c r="A22" s="6" t="s">
        <v>83</v>
      </c>
      <c r="B22" s="6" t="s">
        <v>111</v>
      </c>
      <c r="C22" s="6" t="s">
        <v>117</v>
      </c>
      <c r="D22" s="18">
        <v>125.39999999999999</v>
      </c>
    </row>
    <row r="23" spans="1:4" x14ac:dyDescent="0.25">
      <c r="A23" s="6" t="s">
        <v>84</v>
      </c>
      <c r="B23" s="6" t="s">
        <v>111</v>
      </c>
      <c r="C23" s="6" t="s">
        <v>117</v>
      </c>
      <c r="D23" s="18">
        <v>59.400000000000006</v>
      </c>
    </row>
    <row r="24" spans="1:4" x14ac:dyDescent="0.25">
      <c r="A24" s="6" t="s">
        <v>85</v>
      </c>
      <c r="B24" s="6" t="s">
        <v>111</v>
      </c>
      <c r="C24" s="6" t="s">
        <v>117</v>
      </c>
      <c r="D24" s="18">
        <v>35.200000000000003</v>
      </c>
    </row>
    <row r="25" spans="1:4" x14ac:dyDescent="0.25">
      <c r="A25" s="14" t="s">
        <v>86</v>
      </c>
      <c r="B25" s="14"/>
      <c r="C25" s="14"/>
      <c r="D25" s="22">
        <v>220</v>
      </c>
    </row>
    <row r="27" spans="1:4" x14ac:dyDescent="0.25">
      <c r="A27" s="6" t="s">
        <v>87</v>
      </c>
      <c r="B27" s="6" t="s">
        <v>112</v>
      </c>
      <c r="C27" s="6" t="s">
        <v>117</v>
      </c>
      <c r="D27" s="18">
        <v>68</v>
      </c>
    </row>
    <row r="28" spans="1:4" x14ac:dyDescent="0.25">
      <c r="A28" s="14" t="s">
        <v>87</v>
      </c>
      <c r="B28" s="14"/>
      <c r="C28" s="14"/>
      <c r="D28" s="22">
        <v>68</v>
      </c>
    </row>
    <row r="29" spans="1:4" x14ac:dyDescent="0.25">
      <c r="A29" s="16"/>
      <c r="B29" s="16"/>
      <c r="C29" s="16"/>
      <c r="D29" s="16"/>
    </row>
    <row r="30" spans="1:4" ht="12" thickBot="1" x14ac:dyDescent="0.3">
      <c r="A30" s="19" t="s">
        <v>88</v>
      </c>
      <c r="B30" s="19"/>
      <c r="C30" s="19"/>
      <c r="D30" s="21">
        <v>1226.8</v>
      </c>
    </row>
    <row r="32" spans="1:4" x14ac:dyDescent="0.25">
      <c r="A32" s="6" t="s">
        <v>89</v>
      </c>
      <c r="B32" s="6" t="s">
        <v>113</v>
      </c>
      <c r="C32" s="6" t="s">
        <v>118</v>
      </c>
      <c r="D32" s="13">
        <v>19.981000000000002</v>
      </c>
    </row>
    <row r="33" spans="1:4" x14ac:dyDescent="0.25">
      <c r="A33" s="6" t="s">
        <v>93</v>
      </c>
      <c r="B33" s="6" t="s">
        <v>113</v>
      </c>
      <c r="C33" s="6" t="s">
        <v>118</v>
      </c>
      <c r="D33" s="13">
        <v>15.847000000000001</v>
      </c>
    </row>
    <row r="34" spans="1:4" x14ac:dyDescent="0.25">
      <c r="A34" s="6" t="s">
        <v>90</v>
      </c>
      <c r="B34" s="6" t="s">
        <v>113</v>
      </c>
      <c r="C34" s="6" t="s">
        <v>118</v>
      </c>
      <c r="D34" s="13">
        <v>14.469000000000001</v>
      </c>
    </row>
    <row r="35" spans="1:4" x14ac:dyDescent="0.25">
      <c r="A35" s="6" t="s">
        <v>92</v>
      </c>
      <c r="B35" s="6" t="s">
        <v>113</v>
      </c>
      <c r="C35" s="6" t="s">
        <v>118</v>
      </c>
      <c r="D35" s="13">
        <v>10.335000000000001</v>
      </c>
    </row>
    <row r="36" spans="1:4" x14ac:dyDescent="0.25">
      <c r="A36" s="6" t="s">
        <v>91</v>
      </c>
      <c r="B36" s="6" t="s">
        <v>113</v>
      </c>
      <c r="C36" s="6" t="s">
        <v>118</v>
      </c>
      <c r="D36" s="13">
        <v>8.2680000000000007</v>
      </c>
    </row>
    <row r="37" spans="1:4" x14ac:dyDescent="0.25">
      <c r="A37" s="14" t="s">
        <v>94</v>
      </c>
      <c r="B37" s="14"/>
      <c r="C37" s="14"/>
      <c r="D37" s="15">
        <v>68.900000000000006</v>
      </c>
    </row>
    <row r="39" spans="1:4" x14ac:dyDescent="0.25">
      <c r="A39" s="6" t="s">
        <v>95</v>
      </c>
      <c r="B39" s="6" t="s">
        <v>110</v>
      </c>
      <c r="C39" s="6" t="s">
        <v>118</v>
      </c>
      <c r="D39" s="13">
        <v>17.506999999999998</v>
      </c>
    </row>
    <row r="40" spans="1:4" x14ac:dyDescent="0.25">
      <c r="A40" s="6" t="s">
        <v>96</v>
      </c>
      <c r="B40" s="6" t="s">
        <v>110</v>
      </c>
      <c r="C40" s="6" t="s">
        <v>118</v>
      </c>
      <c r="D40" s="13">
        <v>6.601</v>
      </c>
    </row>
    <row r="41" spans="1:4" x14ac:dyDescent="0.25">
      <c r="A41" s="6" t="s">
        <v>97</v>
      </c>
      <c r="B41" s="6" t="s">
        <v>110</v>
      </c>
      <c r="C41" s="6" t="s">
        <v>118</v>
      </c>
      <c r="D41" s="13">
        <v>4.5919999999999996</v>
      </c>
    </row>
    <row r="42" spans="1:4" x14ac:dyDescent="0.25">
      <c r="A42" s="14" t="s">
        <v>98</v>
      </c>
      <c r="B42" s="14"/>
      <c r="C42" s="14"/>
      <c r="D42" s="14">
        <v>28.699999999999996</v>
      </c>
    </row>
    <row r="44" spans="1:4" x14ac:dyDescent="0.25">
      <c r="A44" s="6" t="s">
        <v>99</v>
      </c>
      <c r="B44" s="6" t="s">
        <v>114</v>
      </c>
      <c r="C44" s="6" t="s">
        <v>118</v>
      </c>
      <c r="D44" s="18">
        <v>605</v>
      </c>
    </row>
    <row r="45" spans="1:4" x14ac:dyDescent="0.25">
      <c r="A45" s="14" t="s">
        <v>100</v>
      </c>
      <c r="B45" s="14"/>
      <c r="C45" s="14"/>
      <c r="D45" s="22">
        <v>605</v>
      </c>
    </row>
    <row r="47" spans="1:4" x14ac:dyDescent="0.25">
      <c r="A47" s="6" t="s">
        <v>101</v>
      </c>
      <c r="B47" s="6" t="s">
        <v>112</v>
      </c>
      <c r="C47" s="6" t="s">
        <v>118</v>
      </c>
      <c r="D47" s="6">
        <v>38.9</v>
      </c>
    </row>
    <row r="48" spans="1:4" x14ac:dyDescent="0.25">
      <c r="A48" s="14" t="s">
        <v>101</v>
      </c>
      <c r="B48" s="14"/>
      <c r="C48" s="14"/>
      <c r="D48" s="14">
        <v>38.9</v>
      </c>
    </row>
    <row r="50" spans="1:4" x14ac:dyDescent="0.25">
      <c r="A50" s="6" t="s">
        <v>102</v>
      </c>
      <c r="B50" s="6" t="s">
        <v>115</v>
      </c>
      <c r="C50" s="6" t="s">
        <v>115</v>
      </c>
      <c r="D50" s="13">
        <v>450.125</v>
      </c>
    </row>
    <row r="51" spans="1:4" x14ac:dyDescent="0.25">
      <c r="A51" s="6" t="s">
        <v>103</v>
      </c>
      <c r="B51" s="6" t="s">
        <v>115</v>
      </c>
      <c r="C51" s="6" t="s">
        <v>115</v>
      </c>
      <c r="D51" s="13">
        <v>18.425000000000001</v>
      </c>
    </row>
    <row r="52" spans="1:4" x14ac:dyDescent="0.25">
      <c r="A52" s="6" t="s">
        <v>104</v>
      </c>
      <c r="B52" s="6" t="s">
        <v>115</v>
      </c>
      <c r="C52" s="6" t="s">
        <v>115</v>
      </c>
      <c r="D52" s="13">
        <v>16.75</v>
      </c>
    </row>
    <row r="53" spans="1:4" x14ac:dyDescent="0.25">
      <c r="A53" s="14" t="s">
        <v>105</v>
      </c>
      <c r="B53" s="14"/>
      <c r="C53" s="14"/>
      <c r="D53" s="14">
        <v>485.3</v>
      </c>
    </row>
    <row r="55" spans="1:4" ht="12" thickBot="1" x14ac:dyDescent="0.3">
      <c r="A55" s="19" t="s">
        <v>106</v>
      </c>
      <c r="B55" s="19"/>
      <c r="C55" s="19"/>
      <c r="D55" s="21">
        <v>1226.8000000000002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438"/>
  <sheetViews>
    <sheetView workbookViewId="0">
      <selection activeCell="D89" sqref="D89"/>
    </sheetView>
  </sheetViews>
  <sheetFormatPr defaultRowHeight="14.5" x14ac:dyDescent="0.35"/>
  <cols>
    <col min="2" max="2" width="14.54296875" customWidth="1"/>
    <col min="3" max="3" width="38.1796875" customWidth="1"/>
    <col min="4" max="4" width="20.08984375" customWidth="1"/>
    <col min="5" max="5" width="19.36328125" customWidth="1"/>
  </cols>
  <sheetData>
    <row r="3" spans="1:5" x14ac:dyDescent="0.35">
      <c r="A3" t="s">
        <v>5</v>
      </c>
      <c r="B3" t="s">
        <v>52</v>
      </c>
      <c r="C3" t="s">
        <v>0</v>
      </c>
      <c r="D3" s="3" t="s">
        <v>1</v>
      </c>
      <c r="E3" t="s">
        <v>53</v>
      </c>
    </row>
    <row r="4" spans="1:5" x14ac:dyDescent="0.35">
      <c r="A4" s="2">
        <v>41640</v>
      </c>
      <c r="B4">
        <f>YEAR(A4)</f>
        <v>2014</v>
      </c>
      <c r="C4" s="1" t="s">
        <v>2</v>
      </c>
      <c r="D4" s="3">
        <v>72</v>
      </c>
      <c r="E4" t="s">
        <v>54</v>
      </c>
    </row>
    <row r="5" spans="1:5" x14ac:dyDescent="0.35">
      <c r="A5" s="2">
        <v>41640</v>
      </c>
      <c r="B5">
        <f t="shared" ref="B5:B68" si="0">YEAR(A5)</f>
        <v>2014</v>
      </c>
      <c r="C5" s="1" t="s">
        <v>7</v>
      </c>
      <c r="D5" s="3">
        <v>47</v>
      </c>
      <c r="E5" t="s">
        <v>55</v>
      </c>
    </row>
    <row r="6" spans="1:5" x14ac:dyDescent="0.35">
      <c r="A6" s="2">
        <v>41640</v>
      </c>
      <c r="B6">
        <f t="shared" si="0"/>
        <v>2014</v>
      </c>
      <c r="C6" s="1" t="s">
        <v>4</v>
      </c>
      <c r="D6" s="3">
        <v>37</v>
      </c>
      <c r="E6" t="s">
        <v>54</v>
      </c>
    </row>
    <row r="7" spans="1:5" x14ac:dyDescent="0.35">
      <c r="A7" s="2">
        <v>41640</v>
      </c>
      <c r="B7">
        <f t="shared" si="0"/>
        <v>2014</v>
      </c>
      <c r="C7" s="1" t="s">
        <v>9</v>
      </c>
      <c r="D7" s="3">
        <v>20</v>
      </c>
      <c r="E7" t="s">
        <v>55</v>
      </c>
    </row>
    <row r="8" spans="1:5" x14ac:dyDescent="0.35">
      <c r="A8" s="2">
        <v>41640</v>
      </c>
      <c r="B8">
        <f t="shared" si="0"/>
        <v>2014</v>
      </c>
      <c r="C8" s="1" t="s">
        <v>3</v>
      </c>
      <c r="D8" s="3">
        <v>36</v>
      </c>
      <c r="E8" t="s">
        <v>54</v>
      </c>
    </row>
    <row r="9" spans="1:5" x14ac:dyDescent="0.35">
      <c r="A9" s="2">
        <v>41640</v>
      </c>
      <c r="B9">
        <f t="shared" si="0"/>
        <v>2014</v>
      </c>
      <c r="C9" s="1" t="s">
        <v>10</v>
      </c>
      <c r="D9" s="3">
        <v>17</v>
      </c>
      <c r="E9" t="s">
        <v>55</v>
      </c>
    </row>
    <row r="10" spans="1:5" x14ac:dyDescent="0.35">
      <c r="A10" s="2">
        <v>41640</v>
      </c>
      <c r="B10">
        <f t="shared" si="0"/>
        <v>2014</v>
      </c>
      <c r="C10" s="1" t="s">
        <v>6</v>
      </c>
      <c r="D10" s="3">
        <v>57</v>
      </c>
      <c r="E10" t="s">
        <v>54</v>
      </c>
    </row>
    <row r="11" spans="1:5" x14ac:dyDescent="0.35">
      <c r="A11" s="2">
        <v>41640</v>
      </c>
      <c r="B11">
        <f t="shared" si="0"/>
        <v>2014</v>
      </c>
      <c r="C11" s="1" t="s">
        <v>11</v>
      </c>
      <c r="D11" s="3">
        <v>32</v>
      </c>
      <c r="E11" t="s">
        <v>55</v>
      </c>
    </row>
    <row r="12" spans="1:5" x14ac:dyDescent="0.35">
      <c r="A12" s="2">
        <v>41640</v>
      </c>
      <c r="B12">
        <f t="shared" si="0"/>
        <v>2014</v>
      </c>
      <c r="C12" s="1" t="s">
        <v>8</v>
      </c>
      <c r="D12" s="3">
        <v>95.399999999999991</v>
      </c>
      <c r="E12" t="s">
        <v>8</v>
      </c>
    </row>
    <row r="13" spans="1:5" x14ac:dyDescent="0.35">
      <c r="A13" s="2">
        <v>41640</v>
      </c>
      <c r="B13">
        <f t="shared" si="0"/>
        <v>2014</v>
      </c>
      <c r="C13" s="1" t="s">
        <v>12</v>
      </c>
      <c r="D13" s="3">
        <v>2</v>
      </c>
      <c r="E13" t="s">
        <v>12</v>
      </c>
    </row>
    <row r="14" spans="1:5" x14ac:dyDescent="0.35">
      <c r="A14" s="2">
        <v>41640</v>
      </c>
      <c r="B14">
        <f t="shared" si="0"/>
        <v>2014</v>
      </c>
      <c r="C14" s="1" t="s">
        <v>49</v>
      </c>
      <c r="D14" s="3">
        <v>5</v>
      </c>
      <c r="E14" s="1" t="s">
        <v>49</v>
      </c>
    </row>
    <row r="15" spans="1:5" x14ac:dyDescent="0.35">
      <c r="A15" s="2">
        <v>41640</v>
      </c>
      <c r="B15">
        <f t="shared" si="0"/>
        <v>2014</v>
      </c>
      <c r="C15" s="1" t="s">
        <v>50</v>
      </c>
      <c r="D15" s="4">
        <v>17.29</v>
      </c>
      <c r="E15" s="1" t="s">
        <v>50</v>
      </c>
    </row>
    <row r="16" spans="1:5" x14ac:dyDescent="0.35">
      <c r="A16" s="2">
        <v>41641</v>
      </c>
      <c r="B16">
        <f t="shared" si="0"/>
        <v>2014</v>
      </c>
      <c r="C16" s="1" t="s">
        <v>2</v>
      </c>
      <c r="D16" s="3">
        <v>75</v>
      </c>
      <c r="E16" t="s">
        <v>54</v>
      </c>
    </row>
    <row r="17" spans="1:5" x14ac:dyDescent="0.35">
      <c r="A17" s="2">
        <v>41641</v>
      </c>
      <c r="B17">
        <f t="shared" si="0"/>
        <v>2014</v>
      </c>
      <c r="C17" s="1" t="s">
        <v>7</v>
      </c>
      <c r="D17" s="3">
        <v>55</v>
      </c>
      <c r="E17" t="s">
        <v>55</v>
      </c>
    </row>
    <row r="18" spans="1:5" x14ac:dyDescent="0.35">
      <c r="A18" s="2">
        <v>41641</v>
      </c>
      <c r="B18">
        <f t="shared" si="0"/>
        <v>2014</v>
      </c>
      <c r="C18" s="1" t="s">
        <v>4</v>
      </c>
      <c r="D18" s="3">
        <v>26</v>
      </c>
      <c r="E18" t="s">
        <v>54</v>
      </c>
    </row>
    <row r="19" spans="1:5" x14ac:dyDescent="0.35">
      <c r="A19" s="2">
        <v>41641</v>
      </c>
      <c r="B19">
        <f t="shared" si="0"/>
        <v>2014</v>
      </c>
      <c r="C19" s="1" t="s">
        <v>9</v>
      </c>
      <c r="D19" s="3">
        <v>18</v>
      </c>
      <c r="E19" t="s">
        <v>55</v>
      </c>
    </row>
    <row r="20" spans="1:5" x14ac:dyDescent="0.35">
      <c r="A20" s="2">
        <v>41641</v>
      </c>
      <c r="B20">
        <f t="shared" si="0"/>
        <v>2014</v>
      </c>
      <c r="C20" s="1" t="s">
        <v>3</v>
      </c>
      <c r="D20" s="3">
        <v>42</v>
      </c>
      <c r="E20" t="s">
        <v>54</v>
      </c>
    </row>
    <row r="21" spans="1:5" x14ac:dyDescent="0.35">
      <c r="A21" s="2">
        <v>41641</v>
      </c>
      <c r="B21">
        <f t="shared" si="0"/>
        <v>2014</v>
      </c>
      <c r="C21" s="1" t="s">
        <v>10</v>
      </c>
      <c r="D21" s="3">
        <v>18</v>
      </c>
      <c r="E21" t="s">
        <v>55</v>
      </c>
    </row>
    <row r="22" spans="1:5" x14ac:dyDescent="0.35">
      <c r="A22" s="2">
        <v>41641</v>
      </c>
      <c r="B22">
        <f t="shared" si="0"/>
        <v>2014</v>
      </c>
      <c r="C22" s="1" t="s">
        <v>6</v>
      </c>
      <c r="D22" s="3">
        <v>54</v>
      </c>
      <c r="E22" t="s">
        <v>54</v>
      </c>
    </row>
    <row r="23" spans="1:5" x14ac:dyDescent="0.35">
      <c r="A23" s="2">
        <v>41641</v>
      </c>
      <c r="B23">
        <f t="shared" si="0"/>
        <v>2014</v>
      </c>
      <c r="C23" s="1" t="s">
        <v>11</v>
      </c>
      <c r="D23" s="3">
        <v>33</v>
      </c>
      <c r="E23" t="s">
        <v>55</v>
      </c>
    </row>
    <row r="24" spans="1:5" x14ac:dyDescent="0.35">
      <c r="A24" s="2">
        <v>41641</v>
      </c>
      <c r="B24">
        <f t="shared" si="0"/>
        <v>2014</v>
      </c>
      <c r="C24" s="1" t="s">
        <v>8</v>
      </c>
      <c r="D24" s="3">
        <v>96.3</v>
      </c>
      <c r="E24" t="s">
        <v>8</v>
      </c>
    </row>
    <row r="25" spans="1:5" x14ac:dyDescent="0.35">
      <c r="A25" s="2">
        <v>41641</v>
      </c>
      <c r="B25">
        <f t="shared" si="0"/>
        <v>2014</v>
      </c>
      <c r="C25" s="1" t="s">
        <v>12</v>
      </c>
      <c r="D25" s="3">
        <v>2</v>
      </c>
      <c r="E25" t="s">
        <v>12</v>
      </c>
    </row>
    <row r="26" spans="1:5" x14ac:dyDescent="0.35">
      <c r="A26" s="2">
        <v>41641</v>
      </c>
      <c r="B26">
        <f t="shared" si="0"/>
        <v>2014</v>
      </c>
      <c r="C26" s="1" t="s">
        <v>49</v>
      </c>
      <c r="D26" s="3">
        <v>5</v>
      </c>
      <c r="E26" s="1" t="s">
        <v>49</v>
      </c>
    </row>
    <row r="27" spans="1:5" x14ac:dyDescent="0.35">
      <c r="A27" s="2">
        <v>41641</v>
      </c>
      <c r="B27">
        <f t="shared" si="0"/>
        <v>2014</v>
      </c>
      <c r="C27" s="1" t="s">
        <v>50</v>
      </c>
      <c r="D27" s="4">
        <v>17</v>
      </c>
      <c r="E27" s="1" t="s">
        <v>50</v>
      </c>
    </row>
    <row r="28" spans="1:5" x14ac:dyDescent="0.35">
      <c r="A28" s="2">
        <v>41642</v>
      </c>
      <c r="B28">
        <f t="shared" si="0"/>
        <v>2014</v>
      </c>
      <c r="C28" s="1" t="s">
        <v>2</v>
      </c>
      <c r="D28" s="3">
        <v>69</v>
      </c>
      <c r="E28" t="s">
        <v>54</v>
      </c>
    </row>
    <row r="29" spans="1:5" x14ac:dyDescent="0.35">
      <c r="A29" s="2">
        <v>41642</v>
      </c>
      <c r="B29">
        <f t="shared" si="0"/>
        <v>2014</v>
      </c>
      <c r="C29" s="1" t="s">
        <v>7</v>
      </c>
      <c r="D29" s="3">
        <v>58</v>
      </c>
      <c r="E29" t="s">
        <v>55</v>
      </c>
    </row>
    <row r="30" spans="1:5" x14ac:dyDescent="0.35">
      <c r="A30" s="2">
        <v>41642</v>
      </c>
      <c r="B30">
        <f t="shared" si="0"/>
        <v>2014</v>
      </c>
      <c r="C30" s="1" t="s">
        <v>4</v>
      </c>
      <c r="D30" s="3">
        <v>32</v>
      </c>
      <c r="E30" t="s">
        <v>54</v>
      </c>
    </row>
    <row r="31" spans="1:5" x14ac:dyDescent="0.35">
      <c r="A31" s="2">
        <v>41642</v>
      </c>
      <c r="B31">
        <f t="shared" si="0"/>
        <v>2014</v>
      </c>
      <c r="C31" s="1" t="s">
        <v>9</v>
      </c>
      <c r="D31" s="3">
        <v>12</v>
      </c>
      <c r="E31" t="s">
        <v>55</v>
      </c>
    </row>
    <row r="32" spans="1:5" x14ac:dyDescent="0.35">
      <c r="A32" s="2">
        <v>41642</v>
      </c>
      <c r="B32">
        <f t="shared" si="0"/>
        <v>2014</v>
      </c>
      <c r="C32" s="1" t="s">
        <v>3</v>
      </c>
      <c r="D32" s="3">
        <v>41</v>
      </c>
      <c r="E32" t="s">
        <v>54</v>
      </c>
    </row>
    <row r="33" spans="1:5" x14ac:dyDescent="0.35">
      <c r="A33" s="2">
        <v>41642</v>
      </c>
      <c r="B33">
        <f t="shared" si="0"/>
        <v>2014</v>
      </c>
      <c r="C33" s="1" t="s">
        <v>10</v>
      </c>
      <c r="D33" s="3">
        <v>11</v>
      </c>
      <c r="E33" t="s">
        <v>55</v>
      </c>
    </row>
    <row r="34" spans="1:5" x14ac:dyDescent="0.35">
      <c r="A34" s="2">
        <v>41642</v>
      </c>
      <c r="B34">
        <f t="shared" si="0"/>
        <v>2014</v>
      </c>
      <c r="C34" s="1" t="s">
        <v>6</v>
      </c>
      <c r="D34" s="3">
        <v>64</v>
      </c>
      <c r="E34" t="s">
        <v>54</v>
      </c>
    </row>
    <row r="35" spans="1:5" x14ac:dyDescent="0.35">
      <c r="A35" s="2">
        <v>41642</v>
      </c>
      <c r="B35">
        <f t="shared" si="0"/>
        <v>2014</v>
      </c>
      <c r="C35" s="1" t="s">
        <v>11</v>
      </c>
      <c r="D35" s="3">
        <v>35</v>
      </c>
      <c r="E35" t="s">
        <v>55</v>
      </c>
    </row>
    <row r="36" spans="1:5" x14ac:dyDescent="0.35">
      <c r="A36" s="2">
        <v>41642</v>
      </c>
      <c r="B36">
        <f t="shared" si="0"/>
        <v>2014</v>
      </c>
      <c r="C36" s="1" t="s">
        <v>8</v>
      </c>
      <c r="D36" s="3">
        <v>96.6</v>
      </c>
      <c r="E36" t="s">
        <v>8</v>
      </c>
    </row>
    <row r="37" spans="1:5" x14ac:dyDescent="0.35">
      <c r="A37" s="2">
        <v>41642</v>
      </c>
      <c r="B37">
        <f t="shared" si="0"/>
        <v>2014</v>
      </c>
      <c r="C37" s="1" t="s">
        <v>12</v>
      </c>
      <c r="D37" s="3">
        <v>3</v>
      </c>
      <c r="E37" t="s">
        <v>12</v>
      </c>
    </row>
    <row r="38" spans="1:5" x14ac:dyDescent="0.35">
      <c r="A38" s="2">
        <v>41642</v>
      </c>
      <c r="B38">
        <f t="shared" si="0"/>
        <v>2014</v>
      </c>
      <c r="C38" s="1" t="s">
        <v>49</v>
      </c>
      <c r="D38" s="3">
        <v>5</v>
      </c>
      <c r="E38" s="1" t="s">
        <v>49</v>
      </c>
    </row>
    <row r="39" spans="1:5" x14ac:dyDescent="0.35">
      <c r="A39" s="2">
        <v>41642</v>
      </c>
      <c r="B39">
        <f t="shared" si="0"/>
        <v>2014</v>
      </c>
      <c r="C39" s="1" t="s">
        <v>50</v>
      </c>
      <c r="D39" s="4">
        <v>17.850000000000001</v>
      </c>
      <c r="E39" s="1" t="s">
        <v>50</v>
      </c>
    </row>
    <row r="40" spans="1:5" x14ac:dyDescent="0.35">
      <c r="A40" s="2">
        <v>41643</v>
      </c>
      <c r="B40">
        <f t="shared" si="0"/>
        <v>2014</v>
      </c>
      <c r="C40" s="1" t="s">
        <v>2</v>
      </c>
      <c r="D40" s="3">
        <v>68</v>
      </c>
      <c r="E40" t="s">
        <v>54</v>
      </c>
    </row>
    <row r="41" spans="1:5" x14ac:dyDescent="0.35">
      <c r="A41" s="2">
        <v>41643</v>
      </c>
      <c r="B41">
        <f t="shared" si="0"/>
        <v>2014</v>
      </c>
      <c r="C41" s="1" t="s">
        <v>7</v>
      </c>
      <c r="D41" s="3">
        <v>50</v>
      </c>
      <c r="E41" t="s">
        <v>55</v>
      </c>
    </row>
    <row r="42" spans="1:5" x14ac:dyDescent="0.35">
      <c r="A42" s="2">
        <v>41643</v>
      </c>
      <c r="B42">
        <f t="shared" si="0"/>
        <v>2014</v>
      </c>
      <c r="C42" s="1" t="s">
        <v>4</v>
      </c>
      <c r="D42" s="3">
        <v>29</v>
      </c>
      <c r="E42" t="s">
        <v>54</v>
      </c>
    </row>
    <row r="43" spans="1:5" x14ac:dyDescent="0.35">
      <c r="A43" s="2">
        <v>41643</v>
      </c>
      <c r="B43">
        <f t="shared" si="0"/>
        <v>2014</v>
      </c>
      <c r="C43" s="1" t="s">
        <v>9</v>
      </c>
      <c r="D43" s="3">
        <v>19</v>
      </c>
      <c r="E43" t="s">
        <v>55</v>
      </c>
    </row>
    <row r="44" spans="1:5" x14ac:dyDescent="0.35">
      <c r="A44" s="2">
        <v>41643</v>
      </c>
      <c r="B44">
        <f t="shared" si="0"/>
        <v>2014</v>
      </c>
      <c r="C44" s="1" t="s">
        <v>3</v>
      </c>
      <c r="D44" s="3">
        <v>38</v>
      </c>
      <c r="E44" t="s">
        <v>54</v>
      </c>
    </row>
    <row r="45" spans="1:5" x14ac:dyDescent="0.35">
      <c r="A45" s="2">
        <v>41643</v>
      </c>
      <c r="B45">
        <f t="shared" si="0"/>
        <v>2014</v>
      </c>
      <c r="C45" s="1" t="s">
        <v>10</v>
      </c>
      <c r="D45" s="3">
        <v>15</v>
      </c>
      <c r="E45" t="s">
        <v>55</v>
      </c>
    </row>
    <row r="46" spans="1:5" x14ac:dyDescent="0.35">
      <c r="A46" s="2">
        <v>41643</v>
      </c>
      <c r="B46">
        <f t="shared" si="0"/>
        <v>2014</v>
      </c>
      <c r="C46" s="1" t="s">
        <v>6</v>
      </c>
      <c r="D46" s="3">
        <v>60</v>
      </c>
      <c r="E46" t="s">
        <v>54</v>
      </c>
    </row>
    <row r="47" spans="1:5" x14ac:dyDescent="0.35">
      <c r="A47" s="2">
        <v>41643</v>
      </c>
      <c r="B47">
        <f t="shared" si="0"/>
        <v>2014</v>
      </c>
      <c r="C47" s="1" t="s">
        <v>11</v>
      </c>
      <c r="D47" s="3">
        <v>32</v>
      </c>
      <c r="E47" t="s">
        <v>55</v>
      </c>
    </row>
    <row r="48" spans="1:5" x14ac:dyDescent="0.35">
      <c r="A48" s="2">
        <v>41643</v>
      </c>
      <c r="B48">
        <f t="shared" si="0"/>
        <v>2014</v>
      </c>
      <c r="C48" s="1" t="s">
        <v>8</v>
      </c>
      <c r="D48" s="3">
        <v>99.52</v>
      </c>
      <c r="E48" t="s">
        <v>8</v>
      </c>
    </row>
    <row r="49" spans="1:5" x14ac:dyDescent="0.35">
      <c r="A49" s="2">
        <v>41643</v>
      </c>
      <c r="B49">
        <f t="shared" si="0"/>
        <v>2014</v>
      </c>
      <c r="C49" s="1" t="s">
        <v>12</v>
      </c>
      <c r="D49" s="3">
        <v>2</v>
      </c>
      <c r="E49" t="s">
        <v>12</v>
      </c>
    </row>
    <row r="50" spans="1:5" x14ac:dyDescent="0.35">
      <c r="A50" s="2">
        <v>41643</v>
      </c>
      <c r="B50">
        <f t="shared" si="0"/>
        <v>2014</v>
      </c>
      <c r="C50" s="1" t="s">
        <v>49</v>
      </c>
      <c r="D50" s="3">
        <v>5</v>
      </c>
      <c r="E50" s="1" t="s">
        <v>49</v>
      </c>
    </row>
    <row r="51" spans="1:5" x14ac:dyDescent="0.35">
      <c r="A51" s="2">
        <v>41643</v>
      </c>
      <c r="B51">
        <f t="shared" si="0"/>
        <v>2014</v>
      </c>
      <c r="C51" s="1" t="s">
        <v>50</v>
      </c>
      <c r="D51" s="4">
        <v>16.89</v>
      </c>
      <c r="E51" s="1" t="s">
        <v>50</v>
      </c>
    </row>
    <row r="52" spans="1:5" x14ac:dyDescent="0.35">
      <c r="A52" s="2">
        <v>41644</v>
      </c>
      <c r="B52">
        <f t="shared" si="0"/>
        <v>2014</v>
      </c>
      <c r="C52" s="1" t="s">
        <v>2</v>
      </c>
      <c r="D52" s="3">
        <v>68</v>
      </c>
      <c r="E52" t="s">
        <v>54</v>
      </c>
    </row>
    <row r="53" spans="1:5" x14ac:dyDescent="0.35">
      <c r="A53" s="2">
        <v>41644</v>
      </c>
      <c r="B53">
        <f t="shared" si="0"/>
        <v>2014</v>
      </c>
      <c r="C53" s="1" t="s">
        <v>7</v>
      </c>
      <c r="D53" s="3">
        <v>54</v>
      </c>
      <c r="E53" t="s">
        <v>55</v>
      </c>
    </row>
    <row r="54" spans="1:5" x14ac:dyDescent="0.35">
      <c r="A54" s="2">
        <v>41644</v>
      </c>
      <c r="B54">
        <f t="shared" si="0"/>
        <v>2014</v>
      </c>
      <c r="C54" s="1" t="s">
        <v>4</v>
      </c>
      <c r="D54" s="3">
        <v>32</v>
      </c>
      <c r="E54" t="s">
        <v>54</v>
      </c>
    </row>
    <row r="55" spans="1:5" x14ac:dyDescent="0.35">
      <c r="A55" s="2">
        <v>41644</v>
      </c>
      <c r="B55">
        <f t="shared" si="0"/>
        <v>2014</v>
      </c>
      <c r="C55" s="1" t="s">
        <v>9</v>
      </c>
      <c r="D55" s="3">
        <v>19</v>
      </c>
      <c r="E55" t="s">
        <v>55</v>
      </c>
    </row>
    <row r="56" spans="1:5" x14ac:dyDescent="0.35">
      <c r="A56" s="2">
        <v>41644</v>
      </c>
      <c r="B56">
        <f t="shared" si="0"/>
        <v>2014</v>
      </c>
      <c r="C56" s="1" t="s">
        <v>3</v>
      </c>
      <c r="D56" s="3">
        <v>50</v>
      </c>
      <c r="E56" t="s">
        <v>54</v>
      </c>
    </row>
    <row r="57" spans="1:5" x14ac:dyDescent="0.35">
      <c r="A57" s="2">
        <v>41644</v>
      </c>
      <c r="B57">
        <f t="shared" si="0"/>
        <v>2014</v>
      </c>
      <c r="C57" s="1" t="s">
        <v>10</v>
      </c>
      <c r="D57" s="3">
        <v>14</v>
      </c>
      <c r="E57" t="s">
        <v>55</v>
      </c>
    </row>
    <row r="58" spans="1:5" x14ac:dyDescent="0.35">
      <c r="A58" s="2">
        <v>41644</v>
      </c>
      <c r="B58">
        <f t="shared" si="0"/>
        <v>2014</v>
      </c>
      <c r="C58" s="1" t="s">
        <v>6</v>
      </c>
      <c r="D58" s="3">
        <v>64</v>
      </c>
      <c r="E58" t="s">
        <v>54</v>
      </c>
    </row>
    <row r="59" spans="1:5" x14ac:dyDescent="0.35">
      <c r="A59" s="2">
        <v>41644</v>
      </c>
      <c r="B59">
        <f t="shared" si="0"/>
        <v>2014</v>
      </c>
      <c r="C59" s="1" t="s">
        <v>11</v>
      </c>
      <c r="D59" s="3">
        <v>30</v>
      </c>
      <c r="E59" t="s">
        <v>55</v>
      </c>
    </row>
    <row r="60" spans="1:5" x14ac:dyDescent="0.35">
      <c r="A60" s="2">
        <v>41644</v>
      </c>
      <c r="B60">
        <f t="shared" si="0"/>
        <v>2014</v>
      </c>
      <c r="C60" s="1" t="s">
        <v>8</v>
      </c>
      <c r="D60" s="3">
        <v>105.92</v>
      </c>
      <c r="E60" t="s">
        <v>8</v>
      </c>
    </row>
    <row r="61" spans="1:5" x14ac:dyDescent="0.35">
      <c r="A61" s="2">
        <v>41644</v>
      </c>
      <c r="B61">
        <f t="shared" si="0"/>
        <v>2014</v>
      </c>
      <c r="C61" s="1" t="s">
        <v>12</v>
      </c>
      <c r="D61" s="3">
        <v>3</v>
      </c>
      <c r="E61" t="s">
        <v>12</v>
      </c>
    </row>
    <row r="62" spans="1:5" x14ac:dyDescent="0.35">
      <c r="A62" s="2">
        <v>41644</v>
      </c>
      <c r="B62">
        <f t="shared" si="0"/>
        <v>2014</v>
      </c>
      <c r="C62" s="1" t="s">
        <v>49</v>
      </c>
      <c r="D62" s="3">
        <v>5</v>
      </c>
      <c r="E62" s="1" t="s">
        <v>49</v>
      </c>
    </row>
    <row r="63" spans="1:5" x14ac:dyDescent="0.35">
      <c r="A63" s="2">
        <v>41644</v>
      </c>
      <c r="B63">
        <f t="shared" si="0"/>
        <v>2014</v>
      </c>
      <c r="C63" s="1" t="s">
        <v>50</v>
      </c>
      <c r="D63" s="4">
        <v>18.579999999999998</v>
      </c>
      <c r="E63" s="1" t="s">
        <v>50</v>
      </c>
    </row>
    <row r="64" spans="1:5" x14ac:dyDescent="0.35">
      <c r="A64" s="2">
        <v>41645</v>
      </c>
      <c r="B64">
        <f t="shared" si="0"/>
        <v>2014</v>
      </c>
      <c r="C64" s="1" t="s">
        <v>2</v>
      </c>
      <c r="D64" s="3">
        <v>56</v>
      </c>
      <c r="E64" t="s">
        <v>54</v>
      </c>
    </row>
    <row r="65" spans="1:5" x14ac:dyDescent="0.35">
      <c r="A65" s="2">
        <v>41645</v>
      </c>
      <c r="B65">
        <f t="shared" si="0"/>
        <v>2014</v>
      </c>
      <c r="C65" s="1" t="s">
        <v>7</v>
      </c>
      <c r="D65" s="3">
        <v>49</v>
      </c>
      <c r="E65" t="s">
        <v>55</v>
      </c>
    </row>
    <row r="66" spans="1:5" x14ac:dyDescent="0.35">
      <c r="A66" s="2">
        <v>41645</v>
      </c>
      <c r="B66">
        <f t="shared" si="0"/>
        <v>2014</v>
      </c>
      <c r="C66" s="1" t="s">
        <v>4</v>
      </c>
      <c r="D66" s="3">
        <v>31</v>
      </c>
      <c r="E66" t="s">
        <v>54</v>
      </c>
    </row>
    <row r="67" spans="1:5" x14ac:dyDescent="0.35">
      <c r="A67" s="2">
        <v>41645</v>
      </c>
      <c r="B67">
        <f t="shared" si="0"/>
        <v>2014</v>
      </c>
      <c r="C67" s="1" t="s">
        <v>9</v>
      </c>
      <c r="D67" s="3">
        <v>14</v>
      </c>
      <c r="E67" t="s">
        <v>55</v>
      </c>
    </row>
    <row r="68" spans="1:5" x14ac:dyDescent="0.35">
      <c r="A68" s="2">
        <v>41645</v>
      </c>
      <c r="B68">
        <f t="shared" si="0"/>
        <v>2014</v>
      </c>
      <c r="C68" s="1" t="s">
        <v>3</v>
      </c>
      <c r="D68" s="3">
        <v>36</v>
      </c>
      <c r="E68" t="s">
        <v>54</v>
      </c>
    </row>
    <row r="69" spans="1:5" x14ac:dyDescent="0.35">
      <c r="A69" s="2">
        <v>41645</v>
      </c>
      <c r="B69">
        <f t="shared" ref="B69:B132" si="1">YEAR(A69)</f>
        <v>2014</v>
      </c>
      <c r="C69" s="1" t="s">
        <v>10</v>
      </c>
      <c r="D69" s="3">
        <v>15</v>
      </c>
      <c r="E69" t="s">
        <v>55</v>
      </c>
    </row>
    <row r="70" spans="1:5" x14ac:dyDescent="0.35">
      <c r="A70" s="2">
        <v>41645</v>
      </c>
      <c r="B70">
        <f t="shared" si="1"/>
        <v>2014</v>
      </c>
      <c r="C70" s="1" t="s">
        <v>6</v>
      </c>
      <c r="D70" s="3">
        <v>57</v>
      </c>
      <c r="E70" t="s">
        <v>54</v>
      </c>
    </row>
    <row r="71" spans="1:5" x14ac:dyDescent="0.35">
      <c r="A71" s="2">
        <v>41645</v>
      </c>
      <c r="B71">
        <f t="shared" si="1"/>
        <v>2014</v>
      </c>
      <c r="C71" s="1" t="s">
        <v>11</v>
      </c>
      <c r="D71" s="3">
        <v>33</v>
      </c>
      <c r="E71" t="s">
        <v>55</v>
      </c>
    </row>
    <row r="72" spans="1:5" x14ac:dyDescent="0.35">
      <c r="A72" s="2">
        <v>41645</v>
      </c>
      <c r="B72">
        <f t="shared" si="1"/>
        <v>2014</v>
      </c>
      <c r="C72" s="1" t="s">
        <v>8</v>
      </c>
      <c r="D72" s="3">
        <v>93.12</v>
      </c>
      <c r="E72" t="s">
        <v>8</v>
      </c>
    </row>
    <row r="73" spans="1:5" x14ac:dyDescent="0.35">
      <c r="A73" s="2">
        <v>41645</v>
      </c>
      <c r="B73">
        <f t="shared" si="1"/>
        <v>2014</v>
      </c>
      <c r="C73" s="1" t="s">
        <v>12</v>
      </c>
      <c r="D73" s="3">
        <v>3</v>
      </c>
      <c r="E73" t="s">
        <v>12</v>
      </c>
    </row>
    <row r="74" spans="1:5" x14ac:dyDescent="0.35">
      <c r="A74" s="2">
        <v>41645</v>
      </c>
      <c r="B74">
        <f t="shared" si="1"/>
        <v>2014</v>
      </c>
      <c r="C74" s="1" t="s">
        <v>49</v>
      </c>
      <c r="D74" s="3">
        <v>4</v>
      </c>
      <c r="E74" s="1" t="s">
        <v>49</v>
      </c>
    </row>
    <row r="75" spans="1:5" x14ac:dyDescent="0.35">
      <c r="A75" s="2">
        <v>41645</v>
      </c>
      <c r="B75">
        <f t="shared" si="1"/>
        <v>2014</v>
      </c>
      <c r="C75" s="1" t="s">
        <v>50</v>
      </c>
      <c r="D75" s="4">
        <v>15.59</v>
      </c>
      <c r="E75" s="1" t="s">
        <v>50</v>
      </c>
    </row>
    <row r="76" spans="1:5" x14ac:dyDescent="0.35">
      <c r="A76" s="2">
        <v>41646</v>
      </c>
      <c r="B76">
        <f t="shared" si="1"/>
        <v>2014</v>
      </c>
      <c r="C76" s="1" t="s">
        <v>2</v>
      </c>
      <c r="D76" s="3">
        <v>66</v>
      </c>
      <c r="E76" t="s">
        <v>54</v>
      </c>
    </row>
    <row r="77" spans="1:5" x14ac:dyDescent="0.35">
      <c r="A77" s="2">
        <v>41646</v>
      </c>
      <c r="B77">
        <f t="shared" si="1"/>
        <v>2014</v>
      </c>
      <c r="C77" s="1" t="s">
        <v>7</v>
      </c>
      <c r="D77" s="3">
        <v>55</v>
      </c>
      <c r="E77" t="s">
        <v>55</v>
      </c>
    </row>
    <row r="78" spans="1:5" x14ac:dyDescent="0.35">
      <c r="A78" s="2">
        <v>41646</v>
      </c>
      <c r="B78">
        <f t="shared" si="1"/>
        <v>2014</v>
      </c>
      <c r="C78" s="1" t="s">
        <v>4</v>
      </c>
      <c r="D78" s="3">
        <v>38</v>
      </c>
      <c r="E78" t="s">
        <v>54</v>
      </c>
    </row>
    <row r="79" spans="1:5" x14ac:dyDescent="0.35">
      <c r="A79" s="2">
        <v>41646</v>
      </c>
      <c r="B79">
        <f t="shared" si="1"/>
        <v>2014</v>
      </c>
      <c r="C79" s="1" t="s">
        <v>9</v>
      </c>
      <c r="D79" s="3">
        <v>17</v>
      </c>
      <c r="E79" t="s">
        <v>55</v>
      </c>
    </row>
    <row r="80" spans="1:5" x14ac:dyDescent="0.35">
      <c r="A80" s="2">
        <v>41646</v>
      </c>
      <c r="B80">
        <f t="shared" si="1"/>
        <v>2014</v>
      </c>
      <c r="C80" s="1" t="s">
        <v>3</v>
      </c>
      <c r="D80" s="3">
        <v>43</v>
      </c>
      <c r="E80" t="s">
        <v>54</v>
      </c>
    </row>
    <row r="81" spans="1:5" x14ac:dyDescent="0.35">
      <c r="A81" s="2">
        <v>41646</v>
      </c>
      <c r="B81">
        <f t="shared" si="1"/>
        <v>2014</v>
      </c>
      <c r="C81" s="1" t="s">
        <v>10</v>
      </c>
      <c r="D81" s="3">
        <v>17</v>
      </c>
      <c r="E81" t="s">
        <v>55</v>
      </c>
    </row>
    <row r="82" spans="1:5" x14ac:dyDescent="0.35">
      <c r="A82" s="2">
        <v>41646</v>
      </c>
      <c r="B82">
        <f t="shared" si="1"/>
        <v>2014</v>
      </c>
      <c r="C82" s="1" t="s">
        <v>6</v>
      </c>
      <c r="D82" s="3">
        <v>68</v>
      </c>
      <c r="E82" t="s">
        <v>54</v>
      </c>
    </row>
    <row r="83" spans="1:5" x14ac:dyDescent="0.35">
      <c r="A83" s="2">
        <v>41646</v>
      </c>
      <c r="B83">
        <f t="shared" si="1"/>
        <v>2014</v>
      </c>
      <c r="C83" s="1" t="s">
        <v>11</v>
      </c>
      <c r="D83" s="3">
        <v>33</v>
      </c>
      <c r="E83" t="s">
        <v>55</v>
      </c>
    </row>
    <row r="84" spans="1:5" x14ac:dyDescent="0.35">
      <c r="A84" s="2">
        <v>41646</v>
      </c>
      <c r="B84">
        <f t="shared" si="1"/>
        <v>2014</v>
      </c>
      <c r="C84" s="1" t="s">
        <v>8</v>
      </c>
      <c r="D84" s="3">
        <v>114.58000000000001</v>
      </c>
      <c r="E84" t="s">
        <v>8</v>
      </c>
    </row>
    <row r="85" spans="1:5" x14ac:dyDescent="0.35">
      <c r="A85" s="2">
        <v>41646</v>
      </c>
      <c r="B85">
        <f t="shared" si="1"/>
        <v>2014</v>
      </c>
      <c r="C85" s="1" t="s">
        <v>12</v>
      </c>
      <c r="D85" s="3">
        <v>3</v>
      </c>
      <c r="E85" t="s">
        <v>12</v>
      </c>
    </row>
    <row r="86" spans="1:5" x14ac:dyDescent="0.35">
      <c r="A86" s="2">
        <v>41646</v>
      </c>
      <c r="B86">
        <f t="shared" si="1"/>
        <v>2014</v>
      </c>
      <c r="C86" s="1" t="s">
        <v>49</v>
      </c>
      <c r="D86" s="3">
        <v>4</v>
      </c>
      <c r="E86" s="1" t="s">
        <v>49</v>
      </c>
    </row>
    <row r="87" spans="1:5" x14ac:dyDescent="0.35">
      <c r="A87" s="2">
        <v>41646</v>
      </c>
      <c r="B87">
        <f t="shared" si="1"/>
        <v>2014</v>
      </c>
      <c r="C87" s="1" t="s">
        <v>50</v>
      </c>
      <c r="D87" s="4">
        <v>18.61</v>
      </c>
      <c r="E87" s="1" t="s">
        <v>50</v>
      </c>
    </row>
    <row r="88" spans="1:5" x14ac:dyDescent="0.35">
      <c r="A88" s="2">
        <v>41647</v>
      </c>
      <c r="B88">
        <f t="shared" si="1"/>
        <v>2014</v>
      </c>
      <c r="C88" s="1" t="s">
        <v>2</v>
      </c>
      <c r="D88" s="3">
        <v>57</v>
      </c>
      <c r="E88" t="s">
        <v>54</v>
      </c>
    </row>
    <row r="89" spans="1:5" x14ac:dyDescent="0.35">
      <c r="A89" s="2">
        <v>41647</v>
      </c>
      <c r="B89">
        <f t="shared" si="1"/>
        <v>2014</v>
      </c>
      <c r="C89" s="1" t="s">
        <v>7</v>
      </c>
      <c r="D89" s="3">
        <v>52</v>
      </c>
      <c r="E89" t="s">
        <v>55</v>
      </c>
    </row>
    <row r="90" spans="1:5" x14ac:dyDescent="0.35">
      <c r="A90" s="2">
        <v>41647</v>
      </c>
      <c r="B90">
        <f t="shared" si="1"/>
        <v>2014</v>
      </c>
      <c r="C90" s="1" t="s">
        <v>4</v>
      </c>
      <c r="D90" s="3">
        <v>35</v>
      </c>
      <c r="E90" t="s">
        <v>54</v>
      </c>
    </row>
    <row r="91" spans="1:5" x14ac:dyDescent="0.35">
      <c r="A91" s="2">
        <v>41647</v>
      </c>
      <c r="B91">
        <f t="shared" si="1"/>
        <v>2014</v>
      </c>
      <c r="C91" s="1" t="s">
        <v>9</v>
      </c>
      <c r="D91" s="3">
        <v>19</v>
      </c>
      <c r="E91" t="s">
        <v>55</v>
      </c>
    </row>
    <row r="92" spans="1:5" x14ac:dyDescent="0.35">
      <c r="A92" s="2">
        <v>41647</v>
      </c>
      <c r="B92">
        <f t="shared" si="1"/>
        <v>2014</v>
      </c>
      <c r="C92" s="1" t="s">
        <v>3</v>
      </c>
      <c r="D92" s="3">
        <v>38</v>
      </c>
      <c r="E92" t="s">
        <v>54</v>
      </c>
    </row>
    <row r="93" spans="1:5" x14ac:dyDescent="0.35">
      <c r="A93" s="2">
        <v>41647</v>
      </c>
      <c r="B93">
        <f t="shared" si="1"/>
        <v>2014</v>
      </c>
      <c r="C93" s="1" t="s">
        <v>10</v>
      </c>
      <c r="D93" s="3">
        <v>16</v>
      </c>
      <c r="E93" t="s">
        <v>55</v>
      </c>
    </row>
    <row r="94" spans="1:5" x14ac:dyDescent="0.35">
      <c r="A94" s="2">
        <v>41647</v>
      </c>
      <c r="B94">
        <f t="shared" si="1"/>
        <v>2014</v>
      </c>
      <c r="C94" s="1" t="s">
        <v>6</v>
      </c>
      <c r="D94" s="3">
        <v>57</v>
      </c>
      <c r="E94" t="s">
        <v>54</v>
      </c>
    </row>
    <row r="95" spans="1:5" x14ac:dyDescent="0.35">
      <c r="A95" s="2">
        <v>41647</v>
      </c>
      <c r="B95">
        <f t="shared" si="1"/>
        <v>2014</v>
      </c>
      <c r="C95" s="1" t="s">
        <v>11</v>
      </c>
      <c r="D95" s="3">
        <v>33</v>
      </c>
      <c r="E95" t="s">
        <v>55</v>
      </c>
    </row>
    <row r="96" spans="1:5" x14ac:dyDescent="0.35">
      <c r="A96" s="2">
        <v>41647</v>
      </c>
      <c r="B96">
        <f t="shared" si="1"/>
        <v>2014</v>
      </c>
      <c r="C96" s="1" t="s">
        <v>8</v>
      </c>
      <c r="D96" s="3">
        <v>104.38000000000001</v>
      </c>
      <c r="E96" t="s">
        <v>8</v>
      </c>
    </row>
    <row r="97" spans="1:5" x14ac:dyDescent="0.35">
      <c r="A97" s="2">
        <v>41647</v>
      </c>
      <c r="B97">
        <f t="shared" si="1"/>
        <v>2014</v>
      </c>
      <c r="C97" s="1" t="s">
        <v>12</v>
      </c>
      <c r="D97" s="3">
        <v>3</v>
      </c>
      <c r="E97" t="s">
        <v>12</v>
      </c>
    </row>
    <row r="98" spans="1:5" x14ac:dyDescent="0.35">
      <c r="A98" s="2">
        <v>41647</v>
      </c>
      <c r="B98">
        <f t="shared" si="1"/>
        <v>2014</v>
      </c>
      <c r="C98" s="1" t="s">
        <v>49</v>
      </c>
      <c r="D98" s="3">
        <v>5</v>
      </c>
      <c r="E98" s="1" t="s">
        <v>49</v>
      </c>
    </row>
    <row r="99" spans="1:5" x14ac:dyDescent="0.35">
      <c r="A99" s="2">
        <v>41647</v>
      </c>
      <c r="B99">
        <f t="shared" si="1"/>
        <v>2014</v>
      </c>
      <c r="C99" s="1" t="s">
        <v>50</v>
      </c>
      <c r="D99" s="4">
        <v>16.13</v>
      </c>
      <c r="E99" s="1" t="s">
        <v>50</v>
      </c>
    </row>
    <row r="100" spans="1:5" x14ac:dyDescent="0.35">
      <c r="A100" s="2">
        <v>41648</v>
      </c>
      <c r="B100">
        <f t="shared" si="1"/>
        <v>2014</v>
      </c>
      <c r="C100" s="1" t="s">
        <v>2</v>
      </c>
      <c r="D100" s="3">
        <v>60</v>
      </c>
      <c r="E100" t="s">
        <v>54</v>
      </c>
    </row>
    <row r="101" spans="1:5" x14ac:dyDescent="0.35">
      <c r="A101" s="2">
        <v>41648</v>
      </c>
      <c r="B101">
        <f t="shared" si="1"/>
        <v>2014</v>
      </c>
      <c r="C101" s="1" t="s">
        <v>7</v>
      </c>
      <c r="D101" s="3">
        <v>57</v>
      </c>
      <c r="E101" t="s">
        <v>55</v>
      </c>
    </row>
    <row r="102" spans="1:5" x14ac:dyDescent="0.35">
      <c r="A102" s="2">
        <v>41648</v>
      </c>
      <c r="B102">
        <f t="shared" si="1"/>
        <v>2014</v>
      </c>
      <c r="C102" s="1" t="s">
        <v>4</v>
      </c>
      <c r="D102" s="3">
        <v>28</v>
      </c>
      <c r="E102" t="s">
        <v>54</v>
      </c>
    </row>
    <row r="103" spans="1:5" x14ac:dyDescent="0.35">
      <c r="A103" s="2">
        <v>41648</v>
      </c>
      <c r="B103">
        <f t="shared" si="1"/>
        <v>2014</v>
      </c>
      <c r="C103" s="1" t="s">
        <v>9</v>
      </c>
      <c r="D103" s="3">
        <v>11</v>
      </c>
      <c r="E103" t="s">
        <v>55</v>
      </c>
    </row>
    <row r="104" spans="1:5" x14ac:dyDescent="0.35">
      <c r="A104" s="2">
        <v>41648</v>
      </c>
      <c r="B104">
        <f t="shared" si="1"/>
        <v>2014</v>
      </c>
      <c r="C104" s="1" t="s">
        <v>3</v>
      </c>
      <c r="D104" s="3">
        <v>44</v>
      </c>
      <c r="E104" t="s">
        <v>54</v>
      </c>
    </row>
    <row r="105" spans="1:5" x14ac:dyDescent="0.35">
      <c r="A105" s="2">
        <v>41648</v>
      </c>
      <c r="B105">
        <f t="shared" si="1"/>
        <v>2014</v>
      </c>
      <c r="C105" s="1" t="s">
        <v>10</v>
      </c>
      <c r="D105" s="3">
        <v>12</v>
      </c>
      <c r="E105" t="s">
        <v>55</v>
      </c>
    </row>
    <row r="106" spans="1:5" x14ac:dyDescent="0.35">
      <c r="A106" s="2">
        <v>41648</v>
      </c>
      <c r="B106">
        <f t="shared" si="1"/>
        <v>2014</v>
      </c>
      <c r="C106" s="1" t="s">
        <v>6</v>
      </c>
      <c r="D106" s="3">
        <v>67</v>
      </c>
      <c r="E106" t="s">
        <v>54</v>
      </c>
    </row>
    <row r="107" spans="1:5" x14ac:dyDescent="0.35">
      <c r="A107" s="2">
        <v>41648</v>
      </c>
      <c r="B107">
        <f t="shared" si="1"/>
        <v>2014</v>
      </c>
      <c r="C107" s="1" t="s">
        <v>11</v>
      </c>
      <c r="D107" s="3">
        <v>31</v>
      </c>
      <c r="E107" t="s">
        <v>55</v>
      </c>
    </row>
    <row r="108" spans="1:5" x14ac:dyDescent="0.35">
      <c r="A108" s="2">
        <v>41648</v>
      </c>
      <c r="B108">
        <f t="shared" si="1"/>
        <v>2014</v>
      </c>
      <c r="C108" s="1" t="s">
        <v>8</v>
      </c>
      <c r="D108" s="3">
        <v>108.5</v>
      </c>
      <c r="E108" t="s">
        <v>8</v>
      </c>
    </row>
    <row r="109" spans="1:5" x14ac:dyDescent="0.35">
      <c r="A109" s="2">
        <v>41648</v>
      </c>
      <c r="B109">
        <f t="shared" si="1"/>
        <v>2014</v>
      </c>
      <c r="C109" s="1" t="s">
        <v>12</v>
      </c>
      <c r="D109" s="3">
        <v>2</v>
      </c>
      <c r="E109" t="s">
        <v>12</v>
      </c>
    </row>
    <row r="110" spans="1:5" x14ac:dyDescent="0.35">
      <c r="A110" s="2">
        <v>41648</v>
      </c>
      <c r="B110">
        <f t="shared" si="1"/>
        <v>2014</v>
      </c>
      <c r="C110" s="1" t="s">
        <v>49</v>
      </c>
      <c r="D110" s="3">
        <v>4</v>
      </c>
      <c r="E110" s="1" t="s">
        <v>49</v>
      </c>
    </row>
    <row r="111" spans="1:5" x14ac:dyDescent="0.35">
      <c r="A111" s="2">
        <v>41648</v>
      </c>
      <c r="B111">
        <f t="shared" si="1"/>
        <v>2014</v>
      </c>
      <c r="C111" s="1" t="s">
        <v>50</v>
      </c>
      <c r="D111" s="4">
        <v>17.419999999999998</v>
      </c>
      <c r="E111" s="1" t="s">
        <v>50</v>
      </c>
    </row>
    <row r="112" spans="1:5" x14ac:dyDescent="0.35">
      <c r="A112" s="2">
        <v>41649</v>
      </c>
      <c r="B112">
        <f t="shared" si="1"/>
        <v>2014</v>
      </c>
      <c r="C112" s="1" t="s">
        <v>2</v>
      </c>
      <c r="D112" s="3">
        <v>59</v>
      </c>
      <c r="E112" t="s">
        <v>54</v>
      </c>
    </row>
    <row r="113" spans="1:5" x14ac:dyDescent="0.35">
      <c r="A113" s="2">
        <v>41649</v>
      </c>
      <c r="B113">
        <f t="shared" si="1"/>
        <v>2014</v>
      </c>
      <c r="C113" s="1" t="s">
        <v>7</v>
      </c>
      <c r="D113" s="3">
        <v>57</v>
      </c>
      <c r="E113" t="s">
        <v>55</v>
      </c>
    </row>
    <row r="114" spans="1:5" x14ac:dyDescent="0.35">
      <c r="A114" s="2">
        <v>41649</v>
      </c>
      <c r="B114">
        <f t="shared" si="1"/>
        <v>2014</v>
      </c>
      <c r="C114" s="1" t="s">
        <v>4</v>
      </c>
      <c r="D114" s="3">
        <v>40</v>
      </c>
      <c r="E114" t="s">
        <v>54</v>
      </c>
    </row>
    <row r="115" spans="1:5" x14ac:dyDescent="0.35">
      <c r="A115" s="2">
        <v>41649</v>
      </c>
      <c r="B115">
        <f t="shared" si="1"/>
        <v>2014</v>
      </c>
      <c r="C115" s="1" t="s">
        <v>9</v>
      </c>
      <c r="D115" s="3">
        <v>11</v>
      </c>
      <c r="E115" t="s">
        <v>55</v>
      </c>
    </row>
    <row r="116" spans="1:5" x14ac:dyDescent="0.35">
      <c r="A116" s="2">
        <v>41649</v>
      </c>
      <c r="B116">
        <f t="shared" si="1"/>
        <v>2014</v>
      </c>
      <c r="C116" s="1" t="s">
        <v>3</v>
      </c>
      <c r="D116" s="3">
        <v>35</v>
      </c>
      <c r="E116" t="s">
        <v>54</v>
      </c>
    </row>
    <row r="117" spans="1:5" x14ac:dyDescent="0.35">
      <c r="A117" s="2">
        <v>41649</v>
      </c>
      <c r="B117">
        <f t="shared" si="1"/>
        <v>2014</v>
      </c>
      <c r="C117" s="1" t="s">
        <v>10</v>
      </c>
      <c r="D117" s="3">
        <v>15</v>
      </c>
      <c r="E117" t="s">
        <v>55</v>
      </c>
    </row>
    <row r="118" spans="1:5" x14ac:dyDescent="0.35">
      <c r="A118" s="2">
        <v>41649</v>
      </c>
      <c r="B118">
        <f t="shared" si="1"/>
        <v>2014</v>
      </c>
      <c r="C118" s="1" t="s">
        <v>6</v>
      </c>
      <c r="D118" s="3">
        <v>61</v>
      </c>
      <c r="E118" t="s">
        <v>54</v>
      </c>
    </row>
    <row r="119" spans="1:5" x14ac:dyDescent="0.35">
      <c r="A119" s="2">
        <v>41649</v>
      </c>
      <c r="B119">
        <f t="shared" si="1"/>
        <v>2014</v>
      </c>
      <c r="C119" s="1" t="s">
        <v>11</v>
      </c>
      <c r="D119" s="3">
        <v>35</v>
      </c>
      <c r="E119" t="s">
        <v>55</v>
      </c>
    </row>
    <row r="120" spans="1:5" x14ac:dyDescent="0.35">
      <c r="A120" s="2">
        <v>41649</v>
      </c>
      <c r="B120">
        <f t="shared" si="1"/>
        <v>2014</v>
      </c>
      <c r="C120" s="1" t="s">
        <v>8</v>
      </c>
      <c r="D120" s="3">
        <v>97.03</v>
      </c>
      <c r="E120" t="s">
        <v>8</v>
      </c>
    </row>
    <row r="121" spans="1:5" x14ac:dyDescent="0.35">
      <c r="A121" s="2">
        <v>41649</v>
      </c>
      <c r="B121">
        <f t="shared" si="1"/>
        <v>2014</v>
      </c>
      <c r="C121" s="1" t="s">
        <v>12</v>
      </c>
      <c r="D121" s="3">
        <v>3</v>
      </c>
      <c r="E121" t="s">
        <v>12</v>
      </c>
    </row>
    <row r="122" spans="1:5" x14ac:dyDescent="0.35">
      <c r="A122" s="2">
        <v>41649</v>
      </c>
      <c r="B122">
        <f t="shared" si="1"/>
        <v>2014</v>
      </c>
      <c r="C122" s="1" t="s">
        <v>49</v>
      </c>
      <c r="D122" s="3">
        <v>4</v>
      </c>
      <c r="E122" s="1" t="s">
        <v>49</v>
      </c>
    </row>
    <row r="123" spans="1:5" x14ac:dyDescent="0.35">
      <c r="A123" s="2">
        <v>41649</v>
      </c>
      <c r="B123">
        <f t="shared" si="1"/>
        <v>2014</v>
      </c>
      <c r="C123" s="1" t="s">
        <v>50</v>
      </c>
      <c r="D123" s="4">
        <v>16.77</v>
      </c>
      <c r="E123" s="1" t="s">
        <v>50</v>
      </c>
    </row>
    <row r="124" spans="1:5" x14ac:dyDescent="0.35">
      <c r="A124" s="2">
        <v>41650</v>
      </c>
      <c r="B124">
        <f t="shared" si="1"/>
        <v>2014</v>
      </c>
      <c r="C124" s="1" t="s">
        <v>2</v>
      </c>
      <c r="D124" s="3">
        <v>69</v>
      </c>
      <c r="E124" t="s">
        <v>54</v>
      </c>
    </row>
    <row r="125" spans="1:5" x14ac:dyDescent="0.35">
      <c r="A125" s="2">
        <v>41650</v>
      </c>
      <c r="B125">
        <f t="shared" si="1"/>
        <v>2014</v>
      </c>
      <c r="C125" s="1" t="s">
        <v>7</v>
      </c>
      <c r="D125" s="3">
        <v>45</v>
      </c>
      <c r="E125" t="s">
        <v>55</v>
      </c>
    </row>
    <row r="126" spans="1:5" x14ac:dyDescent="0.35">
      <c r="A126" s="2">
        <v>41650</v>
      </c>
      <c r="B126">
        <f t="shared" si="1"/>
        <v>2014</v>
      </c>
      <c r="C126" s="1" t="s">
        <v>4</v>
      </c>
      <c r="D126" s="3">
        <v>25</v>
      </c>
      <c r="E126" t="s">
        <v>54</v>
      </c>
    </row>
    <row r="127" spans="1:5" x14ac:dyDescent="0.35">
      <c r="A127" s="2">
        <v>41650</v>
      </c>
      <c r="B127">
        <f t="shared" si="1"/>
        <v>2014</v>
      </c>
      <c r="C127" s="1" t="s">
        <v>9</v>
      </c>
      <c r="D127" s="3">
        <v>17</v>
      </c>
      <c r="E127" t="s">
        <v>55</v>
      </c>
    </row>
    <row r="128" spans="1:5" x14ac:dyDescent="0.35">
      <c r="A128" s="2">
        <v>41650</v>
      </c>
      <c r="B128">
        <f t="shared" si="1"/>
        <v>2014</v>
      </c>
      <c r="C128" s="1" t="s">
        <v>3</v>
      </c>
      <c r="D128" s="3">
        <v>45</v>
      </c>
      <c r="E128" t="s">
        <v>54</v>
      </c>
    </row>
    <row r="129" spans="1:5" x14ac:dyDescent="0.35">
      <c r="A129" s="2">
        <v>41650</v>
      </c>
      <c r="B129">
        <f t="shared" si="1"/>
        <v>2014</v>
      </c>
      <c r="C129" s="1" t="s">
        <v>10</v>
      </c>
      <c r="D129" s="3">
        <v>10</v>
      </c>
      <c r="E129" t="s">
        <v>55</v>
      </c>
    </row>
    <row r="130" spans="1:5" x14ac:dyDescent="0.35">
      <c r="A130" s="2">
        <v>41650</v>
      </c>
      <c r="B130">
        <f t="shared" si="1"/>
        <v>2014</v>
      </c>
      <c r="C130" s="1" t="s">
        <v>6</v>
      </c>
      <c r="D130" s="3">
        <v>63</v>
      </c>
      <c r="E130" t="s">
        <v>54</v>
      </c>
    </row>
    <row r="131" spans="1:5" x14ac:dyDescent="0.35">
      <c r="A131" s="2">
        <v>41650</v>
      </c>
      <c r="B131">
        <f t="shared" si="1"/>
        <v>2014</v>
      </c>
      <c r="C131" s="1" t="s">
        <v>11</v>
      </c>
      <c r="D131" s="3">
        <v>31</v>
      </c>
      <c r="E131" t="s">
        <v>55</v>
      </c>
    </row>
    <row r="132" spans="1:5" x14ac:dyDescent="0.35">
      <c r="A132" s="2">
        <v>41650</v>
      </c>
      <c r="B132">
        <f t="shared" si="1"/>
        <v>2014</v>
      </c>
      <c r="C132" s="1" t="s">
        <v>8</v>
      </c>
      <c r="D132" s="3">
        <v>97.600000000000009</v>
      </c>
      <c r="E132" t="s">
        <v>8</v>
      </c>
    </row>
    <row r="133" spans="1:5" x14ac:dyDescent="0.35">
      <c r="A133" s="2">
        <v>41650</v>
      </c>
      <c r="B133">
        <f t="shared" ref="B133:B196" si="2">YEAR(A133)</f>
        <v>2014</v>
      </c>
      <c r="C133" s="1" t="s">
        <v>12</v>
      </c>
      <c r="D133" s="3">
        <v>2</v>
      </c>
      <c r="E133" t="s">
        <v>12</v>
      </c>
    </row>
    <row r="134" spans="1:5" x14ac:dyDescent="0.35">
      <c r="A134" s="2">
        <v>41650</v>
      </c>
      <c r="B134">
        <f t="shared" si="2"/>
        <v>2014</v>
      </c>
      <c r="C134" s="1" t="s">
        <v>49</v>
      </c>
      <c r="D134" s="3">
        <v>5</v>
      </c>
      <c r="E134" s="1" t="s">
        <v>49</v>
      </c>
    </row>
    <row r="135" spans="1:5" x14ac:dyDescent="0.35">
      <c r="A135" s="2">
        <v>41650</v>
      </c>
      <c r="B135">
        <f t="shared" si="2"/>
        <v>2014</v>
      </c>
      <c r="C135" s="1" t="s">
        <v>50</v>
      </c>
      <c r="D135" s="4">
        <v>17.62</v>
      </c>
      <c r="E135" s="1" t="s">
        <v>50</v>
      </c>
    </row>
    <row r="136" spans="1:5" x14ac:dyDescent="0.35">
      <c r="A136" s="2">
        <v>41651</v>
      </c>
      <c r="B136">
        <f t="shared" si="2"/>
        <v>2014</v>
      </c>
      <c r="C136" s="1" t="s">
        <v>2</v>
      </c>
      <c r="D136" s="3">
        <v>74</v>
      </c>
      <c r="E136" t="s">
        <v>54</v>
      </c>
    </row>
    <row r="137" spans="1:5" x14ac:dyDescent="0.35">
      <c r="A137" s="2">
        <v>41651</v>
      </c>
      <c r="B137">
        <f t="shared" si="2"/>
        <v>2014</v>
      </c>
      <c r="C137" s="1" t="s">
        <v>7</v>
      </c>
      <c r="D137" s="3">
        <v>55</v>
      </c>
      <c r="E137" t="s">
        <v>55</v>
      </c>
    </row>
    <row r="138" spans="1:5" x14ac:dyDescent="0.35">
      <c r="A138" s="2">
        <v>41651</v>
      </c>
      <c r="B138">
        <f t="shared" si="2"/>
        <v>2014</v>
      </c>
      <c r="C138" s="1" t="s">
        <v>4</v>
      </c>
      <c r="D138" s="3">
        <v>31</v>
      </c>
      <c r="E138" t="s">
        <v>54</v>
      </c>
    </row>
    <row r="139" spans="1:5" x14ac:dyDescent="0.35">
      <c r="A139" s="2">
        <v>41651</v>
      </c>
      <c r="B139">
        <f t="shared" si="2"/>
        <v>2014</v>
      </c>
      <c r="C139" s="1" t="s">
        <v>9</v>
      </c>
      <c r="D139" s="3">
        <v>19</v>
      </c>
      <c r="E139" t="s">
        <v>55</v>
      </c>
    </row>
    <row r="140" spans="1:5" x14ac:dyDescent="0.35">
      <c r="A140" s="2">
        <v>41651</v>
      </c>
      <c r="B140">
        <f t="shared" si="2"/>
        <v>2014</v>
      </c>
      <c r="C140" s="1" t="s">
        <v>3</v>
      </c>
      <c r="D140" s="3">
        <v>42</v>
      </c>
      <c r="E140" t="s">
        <v>54</v>
      </c>
    </row>
    <row r="141" spans="1:5" x14ac:dyDescent="0.35">
      <c r="A141" s="2">
        <v>41651</v>
      </c>
      <c r="B141">
        <f t="shared" si="2"/>
        <v>2014</v>
      </c>
      <c r="C141" s="1" t="s">
        <v>10</v>
      </c>
      <c r="D141" s="3">
        <v>19</v>
      </c>
      <c r="E141" t="s">
        <v>55</v>
      </c>
    </row>
    <row r="142" spans="1:5" x14ac:dyDescent="0.35">
      <c r="A142" s="2">
        <v>41651</v>
      </c>
      <c r="B142">
        <f t="shared" si="2"/>
        <v>2014</v>
      </c>
      <c r="C142" s="1" t="s">
        <v>6</v>
      </c>
      <c r="D142" s="3">
        <v>59</v>
      </c>
      <c r="E142" t="s">
        <v>54</v>
      </c>
    </row>
    <row r="143" spans="1:5" x14ac:dyDescent="0.35">
      <c r="A143" s="2">
        <v>41651</v>
      </c>
      <c r="B143">
        <f t="shared" si="2"/>
        <v>2014</v>
      </c>
      <c r="C143" s="1" t="s">
        <v>11</v>
      </c>
      <c r="D143" s="3">
        <v>34</v>
      </c>
      <c r="E143" t="s">
        <v>55</v>
      </c>
    </row>
    <row r="144" spans="1:5" x14ac:dyDescent="0.35">
      <c r="A144" s="2">
        <v>41651</v>
      </c>
      <c r="B144">
        <f t="shared" si="2"/>
        <v>2014</v>
      </c>
      <c r="C144" s="1" t="s">
        <v>8</v>
      </c>
      <c r="D144" s="3">
        <v>103.23</v>
      </c>
      <c r="E144" t="s">
        <v>8</v>
      </c>
    </row>
    <row r="145" spans="1:5" x14ac:dyDescent="0.35">
      <c r="A145" s="2">
        <v>41651</v>
      </c>
      <c r="B145">
        <f t="shared" si="2"/>
        <v>2014</v>
      </c>
      <c r="C145" s="1" t="s">
        <v>12</v>
      </c>
      <c r="D145" s="3">
        <v>3</v>
      </c>
      <c r="E145" t="s">
        <v>12</v>
      </c>
    </row>
    <row r="146" spans="1:5" x14ac:dyDescent="0.35">
      <c r="A146" s="2">
        <v>41651</v>
      </c>
      <c r="B146">
        <f t="shared" si="2"/>
        <v>2014</v>
      </c>
      <c r="C146" s="1" t="s">
        <v>49</v>
      </c>
      <c r="D146" s="3">
        <v>5</v>
      </c>
      <c r="E146" s="1" t="s">
        <v>49</v>
      </c>
    </row>
    <row r="147" spans="1:5" x14ac:dyDescent="0.35">
      <c r="A147" s="2">
        <v>41651</v>
      </c>
      <c r="B147">
        <f t="shared" si="2"/>
        <v>2014</v>
      </c>
      <c r="C147" s="1" t="s">
        <v>50</v>
      </c>
      <c r="D147" s="4">
        <v>17.77</v>
      </c>
      <c r="E147" s="1" t="s">
        <v>50</v>
      </c>
    </row>
    <row r="148" spans="1:5" x14ac:dyDescent="0.35">
      <c r="A148" s="2">
        <v>42005</v>
      </c>
      <c r="B148">
        <f t="shared" si="2"/>
        <v>2015</v>
      </c>
      <c r="C148" s="1" t="s">
        <v>2</v>
      </c>
      <c r="D148" s="3">
        <v>56</v>
      </c>
      <c r="E148" t="s">
        <v>54</v>
      </c>
    </row>
    <row r="149" spans="1:5" x14ac:dyDescent="0.35">
      <c r="A149" s="2">
        <v>42005</v>
      </c>
      <c r="B149">
        <f t="shared" si="2"/>
        <v>2015</v>
      </c>
      <c r="C149" s="1" t="s">
        <v>7</v>
      </c>
      <c r="D149" s="3">
        <v>49</v>
      </c>
      <c r="E149" t="s">
        <v>55</v>
      </c>
    </row>
    <row r="150" spans="1:5" x14ac:dyDescent="0.35">
      <c r="A150" s="2">
        <v>42005</v>
      </c>
      <c r="B150">
        <f t="shared" si="2"/>
        <v>2015</v>
      </c>
      <c r="C150" s="1" t="s">
        <v>4</v>
      </c>
      <c r="D150" s="3">
        <v>38</v>
      </c>
      <c r="E150" t="s">
        <v>54</v>
      </c>
    </row>
    <row r="151" spans="1:5" x14ac:dyDescent="0.35">
      <c r="A151" s="2">
        <v>42005</v>
      </c>
      <c r="B151">
        <f t="shared" si="2"/>
        <v>2015</v>
      </c>
      <c r="C151" s="1" t="s">
        <v>9</v>
      </c>
      <c r="D151" s="3">
        <v>13</v>
      </c>
      <c r="E151" t="s">
        <v>55</v>
      </c>
    </row>
    <row r="152" spans="1:5" x14ac:dyDescent="0.35">
      <c r="A152" s="2">
        <v>42005</v>
      </c>
      <c r="B152">
        <f t="shared" si="2"/>
        <v>2015</v>
      </c>
      <c r="C152" s="1" t="s">
        <v>3</v>
      </c>
      <c r="D152" s="3">
        <v>49</v>
      </c>
      <c r="E152" t="s">
        <v>54</v>
      </c>
    </row>
    <row r="153" spans="1:5" x14ac:dyDescent="0.35">
      <c r="A153" s="2">
        <v>42005</v>
      </c>
      <c r="B153">
        <f t="shared" si="2"/>
        <v>2015</v>
      </c>
      <c r="C153" s="1" t="s">
        <v>10</v>
      </c>
      <c r="D153" s="3">
        <v>13</v>
      </c>
      <c r="E153" t="s">
        <v>55</v>
      </c>
    </row>
    <row r="154" spans="1:5" x14ac:dyDescent="0.35">
      <c r="A154" s="2">
        <v>42005</v>
      </c>
      <c r="B154">
        <f t="shared" si="2"/>
        <v>2015</v>
      </c>
      <c r="C154" s="1" t="s">
        <v>6</v>
      </c>
      <c r="D154" s="3">
        <v>67</v>
      </c>
      <c r="E154" t="s">
        <v>54</v>
      </c>
    </row>
    <row r="155" spans="1:5" x14ac:dyDescent="0.35">
      <c r="A155" s="2">
        <v>42005</v>
      </c>
      <c r="B155">
        <f t="shared" si="2"/>
        <v>2015</v>
      </c>
      <c r="C155" s="1" t="s">
        <v>11</v>
      </c>
      <c r="D155" s="3">
        <v>30</v>
      </c>
      <c r="E155" t="s">
        <v>55</v>
      </c>
    </row>
    <row r="156" spans="1:5" x14ac:dyDescent="0.35">
      <c r="A156" s="2">
        <v>42005</v>
      </c>
      <c r="B156">
        <f t="shared" si="2"/>
        <v>2015</v>
      </c>
      <c r="C156" s="1" t="s">
        <v>8</v>
      </c>
      <c r="D156" s="3">
        <v>107.10000000000001</v>
      </c>
      <c r="E156" t="s">
        <v>8</v>
      </c>
    </row>
    <row r="157" spans="1:5" x14ac:dyDescent="0.35">
      <c r="A157" s="2">
        <v>42005</v>
      </c>
      <c r="B157">
        <f t="shared" si="2"/>
        <v>2015</v>
      </c>
      <c r="C157" s="1" t="s">
        <v>12</v>
      </c>
      <c r="D157" s="3">
        <v>4</v>
      </c>
      <c r="E157" t="s">
        <v>12</v>
      </c>
    </row>
    <row r="158" spans="1:5" x14ac:dyDescent="0.35">
      <c r="A158" s="2">
        <v>42005</v>
      </c>
      <c r="B158">
        <f t="shared" si="2"/>
        <v>2015</v>
      </c>
      <c r="C158" s="1" t="s">
        <v>49</v>
      </c>
      <c r="D158" s="3">
        <v>6</v>
      </c>
      <c r="E158" s="1" t="s">
        <v>49</v>
      </c>
    </row>
    <row r="159" spans="1:5" x14ac:dyDescent="0.35">
      <c r="A159" s="2">
        <v>42005</v>
      </c>
      <c r="B159">
        <f t="shared" si="2"/>
        <v>2015</v>
      </c>
      <c r="C159" s="1" t="s">
        <v>50</v>
      </c>
      <c r="D159" s="4">
        <v>18.25</v>
      </c>
      <c r="E159" s="1" t="s">
        <v>50</v>
      </c>
    </row>
    <row r="160" spans="1:5" x14ac:dyDescent="0.35">
      <c r="A160" s="2">
        <v>42006</v>
      </c>
      <c r="B160">
        <f t="shared" si="2"/>
        <v>2015</v>
      </c>
      <c r="C160" s="1" t="s">
        <v>2</v>
      </c>
      <c r="D160" s="3">
        <v>73</v>
      </c>
      <c r="E160" t="s">
        <v>54</v>
      </c>
    </row>
    <row r="161" spans="1:5" x14ac:dyDescent="0.35">
      <c r="A161" s="2">
        <v>42006</v>
      </c>
      <c r="B161">
        <f t="shared" si="2"/>
        <v>2015</v>
      </c>
      <c r="C161" s="1" t="s">
        <v>7</v>
      </c>
      <c r="D161" s="3">
        <v>60</v>
      </c>
      <c r="E161" t="s">
        <v>55</v>
      </c>
    </row>
    <row r="162" spans="1:5" x14ac:dyDescent="0.35">
      <c r="A162" s="2">
        <v>42006</v>
      </c>
      <c r="B162">
        <f t="shared" si="2"/>
        <v>2015</v>
      </c>
      <c r="C162" s="1" t="s">
        <v>4</v>
      </c>
      <c r="D162" s="3">
        <v>40</v>
      </c>
      <c r="E162" t="s">
        <v>54</v>
      </c>
    </row>
    <row r="163" spans="1:5" x14ac:dyDescent="0.35">
      <c r="A163" s="2">
        <v>42006</v>
      </c>
      <c r="B163">
        <f t="shared" si="2"/>
        <v>2015</v>
      </c>
      <c r="C163" s="1" t="s">
        <v>9</v>
      </c>
      <c r="D163" s="3">
        <v>15</v>
      </c>
      <c r="E163" t="s">
        <v>55</v>
      </c>
    </row>
    <row r="164" spans="1:5" x14ac:dyDescent="0.35">
      <c r="A164" s="2">
        <v>42006</v>
      </c>
      <c r="B164">
        <f t="shared" si="2"/>
        <v>2015</v>
      </c>
      <c r="C164" s="1" t="s">
        <v>3</v>
      </c>
      <c r="D164" s="3">
        <v>41</v>
      </c>
      <c r="E164" t="s">
        <v>54</v>
      </c>
    </row>
    <row r="165" spans="1:5" x14ac:dyDescent="0.35">
      <c r="A165" s="2">
        <v>42006</v>
      </c>
      <c r="B165">
        <f t="shared" si="2"/>
        <v>2015</v>
      </c>
      <c r="C165" s="1" t="s">
        <v>10</v>
      </c>
      <c r="D165" s="3">
        <v>12</v>
      </c>
      <c r="E165" t="s">
        <v>55</v>
      </c>
    </row>
    <row r="166" spans="1:5" x14ac:dyDescent="0.35">
      <c r="A166" s="2">
        <v>42006</v>
      </c>
      <c r="B166">
        <f t="shared" si="2"/>
        <v>2015</v>
      </c>
      <c r="C166" s="1" t="s">
        <v>6</v>
      </c>
      <c r="D166" s="3">
        <v>59</v>
      </c>
      <c r="E166" t="s">
        <v>54</v>
      </c>
    </row>
    <row r="167" spans="1:5" x14ac:dyDescent="0.35">
      <c r="A167" s="2">
        <v>42006</v>
      </c>
      <c r="B167">
        <f t="shared" si="2"/>
        <v>2015</v>
      </c>
      <c r="C167" s="1" t="s">
        <v>11</v>
      </c>
      <c r="D167" s="3">
        <v>35</v>
      </c>
      <c r="E167" t="s">
        <v>55</v>
      </c>
    </row>
    <row r="168" spans="1:5" x14ac:dyDescent="0.35">
      <c r="A168" s="2">
        <v>42006</v>
      </c>
      <c r="B168">
        <f t="shared" si="2"/>
        <v>2015</v>
      </c>
      <c r="C168" s="1" t="s">
        <v>8</v>
      </c>
      <c r="D168" s="3">
        <v>107.2</v>
      </c>
      <c r="E168" t="s">
        <v>8</v>
      </c>
    </row>
    <row r="169" spans="1:5" x14ac:dyDescent="0.35">
      <c r="A169" s="2">
        <v>42006</v>
      </c>
      <c r="B169">
        <f t="shared" si="2"/>
        <v>2015</v>
      </c>
      <c r="C169" s="1" t="s">
        <v>12</v>
      </c>
      <c r="D169" s="3">
        <v>3</v>
      </c>
      <c r="E169" t="s">
        <v>12</v>
      </c>
    </row>
    <row r="170" spans="1:5" x14ac:dyDescent="0.35">
      <c r="A170" s="2">
        <v>42006</v>
      </c>
      <c r="B170">
        <f t="shared" si="2"/>
        <v>2015</v>
      </c>
      <c r="C170" s="1" t="s">
        <v>49</v>
      </c>
      <c r="D170" s="3">
        <v>5</v>
      </c>
      <c r="E170" s="1" t="s">
        <v>49</v>
      </c>
    </row>
    <row r="171" spans="1:5" x14ac:dyDescent="0.35">
      <c r="A171" s="2">
        <v>42006</v>
      </c>
      <c r="B171">
        <f t="shared" si="2"/>
        <v>2015</v>
      </c>
      <c r="C171" s="1" t="s">
        <v>50</v>
      </c>
      <c r="D171" s="4">
        <v>18.23</v>
      </c>
      <c r="E171" s="1" t="s">
        <v>50</v>
      </c>
    </row>
    <row r="172" spans="1:5" x14ac:dyDescent="0.35">
      <c r="A172" s="2">
        <v>42007</v>
      </c>
      <c r="B172">
        <f t="shared" si="2"/>
        <v>2015</v>
      </c>
      <c r="C172" s="1" t="s">
        <v>2</v>
      </c>
      <c r="D172" s="3">
        <v>55</v>
      </c>
      <c r="E172" t="s">
        <v>54</v>
      </c>
    </row>
    <row r="173" spans="1:5" x14ac:dyDescent="0.35">
      <c r="A173" s="2">
        <v>42007</v>
      </c>
      <c r="B173">
        <f t="shared" si="2"/>
        <v>2015</v>
      </c>
      <c r="C173" s="1" t="s">
        <v>7</v>
      </c>
      <c r="D173" s="3">
        <v>49</v>
      </c>
      <c r="E173" t="s">
        <v>55</v>
      </c>
    </row>
    <row r="174" spans="1:5" x14ac:dyDescent="0.35">
      <c r="A174" s="2">
        <v>42007</v>
      </c>
      <c r="B174">
        <f t="shared" si="2"/>
        <v>2015</v>
      </c>
      <c r="C174" s="1" t="s">
        <v>4</v>
      </c>
      <c r="D174" s="3">
        <v>37</v>
      </c>
      <c r="E174" t="s">
        <v>54</v>
      </c>
    </row>
    <row r="175" spans="1:5" x14ac:dyDescent="0.35">
      <c r="A175" s="2">
        <v>42007</v>
      </c>
      <c r="B175">
        <f t="shared" si="2"/>
        <v>2015</v>
      </c>
      <c r="C175" s="1" t="s">
        <v>9</v>
      </c>
      <c r="D175" s="3">
        <v>20</v>
      </c>
      <c r="E175" t="s">
        <v>55</v>
      </c>
    </row>
    <row r="176" spans="1:5" x14ac:dyDescent="0.35">
      <c r="A176" s="2">
        <v>42007</v>
      </c>
      <c r="B176">
        <f t="shared" si="2"/>
        <v>2015</v>
      </c>
      <c r="C176" s="1" t="s">
        <v>3</v>
      </c>
      <c r="D176" s="3">
        <v>46</v>
      </c>
      <c r="E176" t="s">
        <v>54</v>
      </c>
    </row>
    <row r="177" spans="1:5" x14ac:dyDescent="0.35">
      <c r="A177" s="2">
        <v>42007</v>
      </c>
      <c r="B177">
        <f t="shared" si="2"/>
        <v>2015</v>
      </c>
      <c r="C177" s="1" t="s">
        <v>10</v>
      </c>
      <c r="D177" s="3">
        <v>18</v>
      </c>
      <c r="E177" t="s">
        <v>55</v>
      </c>
    </row>
    <row r="178" spans="1:5" x14ac:dyDescent="0.35">
      <c r="A178" s="2">
        <v>42007</v>
      </c>
      <c r="B178">
        <f t="shared" si="2"/>
        <v>2015</v>
      </c>
      <c r="C178" s="1" t="s">
        <v>6</v>
      </c>
      <c r="D178" s="3">
        <v>56</v>
      </c>
      <c r="E178" t="s">
        <v>54</v>
      </c>
    </row>
    <row r="179" spans="1:5" x14ac:dyDescent="0.35">
      <c r="A179" s="2">
        <v>42007</v>
      </c>
      <c r="B179">
        <f t="shared" si="2"/>
        <v>2015</v>
      </c>
      <c r="C179" s="1" t="s">
        <v>11</v>
      </c>
      <c r="D179" s="3">
        <v>35</v>
      </c>
      <c r="E179" t="s">
        <v>55</v>
      </c>
    </row>
    <row r="180" spans="1:5" x14ac:dyDescent="0.35">
      <c r="A180" s="2">
        <v>42007</v>
      </c>
      <c r="B180">
        <f t="shared" si="2"/>
        <v>2015</v>
      </c>
      <c r="C180" s="1" t="s">
        <v>8</v>
      </c>
      <c r="D180" s="3">
        <v>104.28</v>
      </c>
      <c r="E180" t="s">
        <v>8</v>
      </c>
    </row>
    <row r="181" spans="1:5" x14ac:dyDescent="0.35">
      <c r="A181" s="2">
        <v>42007</v>
      </c>
      <c r="B181">
        <f t="shared" si="2"/>
        <v>2015</v>
      </c>
      <c r="C181" s="1" t="s">
        <v>12</v>
      </c>
      <c r="D181" s="3">
        <v>4</v>
      </c>
      <c r="E181" t="s">
        <v>12</v>
      </c>
    </row>
    <row r="182" spans="1:5" x14ac:dyDescent="0.35">
      <c r="A182" s="2">
        <v>42007</v>
      </c>
      <c r="B182">
        <f t="shared" si="2"/>
        <v>2015</v>
      </c>
      <c r="C182" s="1" t="s">
        <v>49</v>
      </c>
      <c r="D182" s="3">
        <v>6</v>
      </c>
      <c r="E182" s="1" t="s">
        <v>49</v>
      </c>
    </row>
    <row r="183" spans="1:5" x14ac:dyDescent="0.35">
      <c r="A183" s="2">
        <v>42007</v>
      </c>
      <c r="B183">
        <f t="shared" si="2"/>
        <v>2015</v>
      </c>
      <c r="C183" s="1" t="s">
        <v>50</v>
      </c>
      <c r="D183" s="4">
        <v>16.73</v>
      </c>
      <c r="E183" s="1" t="s">
        <v>50</v>
      </c>
    </row>
    <row r="184" spans="1:5" x14ac:dyDescent="0.35">
      <c r="A184" s="2">
        <v>42008</v>
      </c>
      <c r="B184">
        <f t="shared" si="2"/>
        <v>2015</v>
      </c>
      <c r="C184" s="1" t="s">
        <v>2</v>
      </c>
      <c r="D184" s="3">
        <v>56</v>
      </c>
      <c r="E184" t="s">
        <v>54</v>
      </c>
    </row>
    <row r="185" spans="1:5" x14ac:dyDescent="0.35">
      <c r="A185" s="2">
        <v>42008</v>
      </c>
      <c r="B185">
        <f t="shared" si="2"/>
        <v>2015</v>
      </c>
      <c r="C185" s="1" t="s">
        <v>7</v>
      </c>
      <c r="D185" s="3">
        <v>47</v>
      </c>
      <c r="E185" t="s">
        <v>55</v>
      </c>
    </row>
    <row r="186" spans="1:5" x14ac:dyDescent="0.35">
      <c r="A186" s="2">
        <v>42008</v>
      </c>
      <c r="B186">
        <f t="shared" si="2"/>
        <v>2015</v>
      </c>
      <c r="C186" s="1" t="s">
        <v>4</v>
      </c>
      <c r="D186" s="3">
        <v>38</v>
      </c>
      <c r="E186" t="s">
        <v>54</v>
      </c>
    </row>
    <row r="187" spans="1:5" x14ac:dyDescent="0.35">
      <c r="A187" s="2">
        <v>42008</v>
      </c>
      <c r="B187">
        <f t="shared" si="2"/>
        <v>2015</v>
      </c>
      <c r="C187" s="1" t="s">
        <v>9</v>
      </c>
      <c r="D187" s="3">
        <v>13</v>
      </c>
      <c r="E187" t="s">
        <v>55</v>
      </c>
    </row>
    <row r="188" spans="1:5" x14ac:dyDescent="0.35">
      <c r="A188" s="2">
        <v>42008</v>
      </c>
      <c r="B188">
        <f t="shared" si="2"/>
        <v>2015</v>
      </c>
      <c r="C188" s="1" t="s">
        <v>3</v>
      </c>
      <c r="D188" s="3">
        <v>41</v>
      </c>
      <c r="E188" t="s">
        <v>54</v>
      </c>
    </row>
    <row r="189" spans="1:5" x14ac:dyDescent="0.35">
      <c r="A189" s="2">
        <v>42008</v>
      </c>
      <c r="B189">
        <f t="shared" si="2"/>
        <v>2015</v>
      </c>
      <c r="C189" s="1" t="s">
        <v>10</v>
      </c>
      <c r="D189" s="3">
        <v>18</v>
      </c>
      <c r="E189" t="s">
        <v>55</v>
      </c>
    </row>
    <row r="190" spans="1:5" x14ac:dyDescent="0.35">
      <c r="A190" s="2">
        <v>42008</v>
      </c>
      <c r="B190">
        <f t="shared" si="2"/>
        <v>2015</v>
      </c>
      <c r="C190" s="1" t="s">
        <v>6</v>
      </c>
      <c r="D190" s="3">
        <v>57</v>
      </c>
      <c r="E190" t="s">
        <v>54</v>
      </c>
    </row>
    <row r="191" spans="1:5" x14ac:dyDescent="0.35">
      <c r="A191" s="2">
        <v>42008</v>
      </c>
      <c r="B191">
        <f t="shared" si="2"/>
        <v>2015</v>
      </c>
      <c r="C191" s="1" t="s">
        <v>11</v>
      </c>
      <c r="D191" s="3">
        <v>32</v>
      </c>
      <c r="E191" t="s">
        <v>55</v>
      </c>
    </row>
    <row r="192" spans="1:5" x14ac:dyDescent="0.35">
      <c r="A192" s="2">
        <v>42008</v>
      </c>
      <c r="B192">
        <f t="shared" si="2"/>
        <v>2015</v>
      </c>
      <c r="C192" s="1" t="s">
        <v>8</v>
      </c>
      <c r="D192" s="3">
        <v>105.69999999999999</v>
      </c>
      <c r="E192" t="s">
        <v>8</v>
      </c>
    </row>
    <row r="193" spans="1:5" x14ac:dyDescent="0.35">
      <c r="A193" s="2">
        <v>42008</v>
      </c>
      <c r="B193">
        <f t="shared" si="2"/>
        <v>2015</v>
      </c>
      <c r="C193" s="1" t="s">
        <v>12</v>
      </c>
      <c r="D193" s="3">
        <v>3</v>
      </c>
      <c r="E193" t="s">
        <v>12</v>
      </c>
    </row>
    <row r="194" spans="1:5" x14ac:dyDescent="0.35">
      <c r="A194" s="2">
        <v>42008</v>
      </c>
      <c r="B194">
        <f t="shared" si="2"/>
        <v>2015</v>
      </c>
      <c r="C194" s="1" t="s">
        <v>49</v>
      </c>
      <c r="D194" s="3">
        <v>5</v>
      </c>
      <c r="E194" s="1" t="s">
        <v>49</v>
      </c>
    </row>
    <row r="195" spans="1:5" x14ac:dyDescent="0.35">
      <c r="A195" s="2">
        <v>42008</v>
      </c>
      <c r="B195">
        <f t="shared" si="2"/>
        <v>2015</v>
      </c>
      <c r="C195" s="1" t="s">
        <v>50</v>
      </c>
      <c r="D195" s="4">
        <v>16.53</v>
      </c>
      <c r="E195" s="1" t="s">
        <v>50</v>
      </c>
    </row>
    <row r="196" spans="1:5" x14ac:dyDescent="0.35">
      <c r="A196" s="2">
        <v>42009</v>
      </c>
      <c r="B196">
        <f t="shared" si="2"/>
        <v>2015</v>
      </c>
      <c r="C196" s="1" t="s">
        <v>2</v>
      </c>
      <c r="D196" s="3">
        <v>62</v>
      </c>
      <c r="E196" t="s">
        <v>54</v>
      </c>
    </row>
    <row r="197" spans="1:5" x14ac:dyDescent="0.35">
      <c r="A197" s="2">
        <v>42009</v>
      </c>
      <c r="B197">
        <f t="shared" ref="B197:B260" si="3">YEAR(A197)</f>
        <v>2015</v>
      </c>
      <c r="C197" s="1" t="s">
        <v>7</v>
      </c>
      <c r="D197" s="3">
        <v>46</v>
      </c>
      <c r="E197" t="s">
        <v>55</v>
      </c>
    </row>
    <row r="198" spans="1:5" x14ac:dyDescent="0.35">
      <c r="A198" s="2">
        <v>42009</v>
      </c>
      <c r="B198">
        <f t="shared" si="3"/>
        <v>2015</v>
      </c>
      <c r="C198" s="1" t="s">
        <v>4</v>
      </c>
      <c r="D198" s="3">
        <v>37</v>
      </c>
      <c r="E198" t="s">
        <v>54</v>
      </c>
    </row>
    <row r="199" spans="1:5" x14ac:dyDescent="0.35">
      <c r="A199" s="2">
        <v>42009</v>
      </c>
      <c r="B199">
        <f t="shared" si="3"/>
        <v>2015</v>
      </c>
      <c r="C199" s="1" t="s">
        <v>9</v>
      </c>
      <c r="D199" s="3">
        <v>18</v>
      </c>
      <c r="E199" t="s">
        <v>55</v>
      </c>
    </row>
    <row r="200" spans="1:5" x14ac:dyDescent="0.35">
      <c r="A200" s="2">
        <v>42009</v>
      </c>
      <c r="B200">
        <f t="shared" si="3"/>
        <v>2015</v>
      </c>
      <c r="C200" s="1" t="s">
        <v>3</v>
      </c>
      <c r="D200" s="3">
        <v>35</v>
      </c>
      <c r="E200" t="s">
        <v>54</v>
      </c>
    </row>
    <row r="201" spans="1:5" x14ac:dyDescent="0.35">
      <c r="A201" s="2">
        <v>42009</v>
      </c>
      <c r="B201">
        <f t="shared" si="3"/>
        <v>2015</v>
      </c>
      <c r="C201" s="1" t="s">
        <v>10</v>
      </c>
      <c r="D201" s="3">
        <v>17</v>
      </c>
      <c r="E201" t="s">
        <v>55</v>
      </c>
    </row>
    <row r="202" spans="1:5" x14ac:dyDescent="0.35">
      <c r="A202" s="2">
        <v>42009</v>
      </c>
      <c r="B202">
        <f t="shared" si="3"/>
        <v>2015</v>
      </c>
      <c r="C202" s="1" t="s">
        <v>6</v>
      </c>
      <c r="D202" s="3">
        <v>57</v>
      </c>
      <c r="E202" t="s">
        <v>54</v>
      </c>
    </row>
    <row r="203" spans="1:5" x14ac:dyDescent="0.35">
      <c r="A203" s="2">
        <v>42009</v>
      </c>
      <c r="B203">
        <f t="shared" si="3"/>
        <v>2015</v>
      </c>
      <c r="C203" s="1" t="s">
        <v>11</v>
      </c>
      <c r="D203" s="3">
        <v>32</v>
      </c>
      <c r="E203" t="s">
        <v>55</v>
      </c>
    </row>
    <row r="204" spans="1:5" x14ac:dyDescent="0.35">
      <c r="A204" s="2">
        <v>42009</v>
      </c>
      <c r="B204">
        <f t="shared" si="3"/>
        <v>2015</v>
      </c>
      <c r="C204" s="1" t="s">
        <v>8</v>
      </c>
      <c r="D204" s="3">
        <v>109.44</v>
      </c>
      <c r="E204" t="s">
        <v>8</v>
      </c>
    </row>
    <row r="205" spans="1:5" x14ac:dyDescent="0.35">
      <c r="A205" s="2">
        <v>42009</v>
      </c>
      <c r="B205">
        <f t="shared" si="3"/>
        <v>2015</v>
      </c>
      <c r="C205" s="1" t="s">
        <v>12</v>
      </c>
      <c r="D205" s="3">
        <v>3</v>
      </c>
      <c r="E205" t="s">
        <v>12</v>
      </c>
    </row>
    <row r="206" spans="1:5" x14ac:dyDescent="0.35">
      <c r="A206" s="2">
        <v>42009</v>
      </c>
      <c r="B206">
        <f t="shared" si="3"/>
        <v>2015</v>
      </c>
      <c r="C206" s="1" t="s">
        <v>49</v>
      </c>
      <c r="D206" s="3">
        <v>5</v>
      </c>
      <c r="E206" s="1" t="s">
        <v>49</v>
      </c>
    </row>
    <row r="207" spans="1:5" x14ac:dyDescent="0.35">
      <c r="A207" s="2">
        <v>42009</v>
      </c>
      <c r="B207">
        <f t="shared" si="3"/>
        <v>2015</v>
      </c>
      <c r="C207" s="1" t="s">
        <v>50</v>
      </c>
      <c r="D207" s="4">
        <v>16.400000000000002</v>
      </c>
      <c r="E207" s="1" t="s">
        <v>50</v>
      </c>
    </row>
    <row r="208" spans="1:5" x14ac:dyDescent="0.35">
      <c r="A208" s="2">
        <v>42010</v>
      </c>
      <c r="B208">
        <f t="shared" si="3"/>
        <v>2015</v>
      </c>
      <c r="C208" s="1" t="s">
        <v>2</v>
      </c>
      <c r="D208" s="3">
        <v>70</v>
      </c>
      <c r="E208" t="s">
        <v>54</v>
      </c>
    </row>
    <row r="209" spans="1:5" x14ac:dyDescent="0.35">
      <c r="A209" s="2">
        <v>42010</v>
      </c>
      <c r="B209">
        <f t="shared" si="3"/>
        <v>2015</v>
      </c>
      <c r="C209" s="1" t="s">
        <v>7</v>
      </c>
      <c r="D209" s="3">
        <v>56</v>
      </c>
      <c r="E209" t="s">
        <v>55</v>
      </c>
    </row>
    <row r="210" spans="1:5" x14ac:dyDescent="0.35">
      <c r="A210" s="2">
        <v>42010</v>
      </c>
      <c r="B210">
        <f t="shared" si="3"/>
        <v>2015</v>
      </c>
      <c r="C210" s="1" t="s">
        <v>4</v>
      </c>
      <c r="D210" s="3">
        <v>33</v>
      </c>
      <c r="E210" t="s">
        <v>54</v>
      </c>
    </row>
    <row r="211" spans="1:5" x14ac:dyDescent="0.35">
      <c r="A211" s="2">
        <v>42010</v>
      </c>
      <c r="B211">
        <f t="shared" si="3"/>
        <v>2015</v>
      </c>
      <c r="C211" s="1" t="s">
        <v>9</v>
      </c>
      <c r="D211" s="3">
        <v>16</v>
      </c>
      <c r="E211" t="s">
        <v>55</v>
      </c>
    </row>
    <row r="212" spans="1:5" x14ac:dyDescent="0.35">
      <c r="A212" s="2">
        <v>42010</v>
      </c>
      <c r="B212">
        <f t="shared" si="3"/>
        <v>2015</v>
      </c>
      <c r="C212" s="1" t="s">
        <v>3</v>
      </c>
      <c r="D212" s="3">
        <v>49</v>
      </c>
      <c r="E212" t="s">
        <v>54</v>
      </c>
    </row>
    <row r="213" spans="1:5" x14ac:dyDescent="0.35">
      <c r="A213" s="2">
        <v>42010</v>
      </c>
      <c r="B213">
        <f t="shared" si="3"/>
        <v>2015</v>
      </c>
      <c r="C213" s="1" t="s">
        <v>10</v>
      </c>
      <c r="D213" s="3">
        <v>17</v>
      </c>
      <c r="E213" t="s">
        <v>55</v>
      </c>
    </row>
    <row r="214" spans="1:5" x14ac:dyDescent="0.35">
      <c r="A214" s="2">
        <v>42010</v>
      </c>
      <c r="B214">
        <f t="shared" si="3"/>
        <v>2015</v>
      </c>
      <c r="C214" s="1" t="s">
        <v>6</v>
      </c>
      <c r="D214" s="3">
        <v>64</v>
      </c>
      <c r="E214" t="s">
        <v>54</v>
      </c>
    </row>
    <row r="215" spans="1:5" x14ac:dyDescent="0.35">
      <c r="A215" s="2">
        <v>42010</v>
      </c>
      <c r="B215">
        <f t="shared" si="3"/>
        <v>2015</v>
      </c>
      <c r="C215" s="1" t="s">
        <v>11</v>
      </c>
      <c r="D215" s="3">
        <v>33</v>
      </c>
      <c r="E215" t="s">
        <v>55</v>
      </c>
    </row>
    <row r="216" spans="1:5" x14ac:dyDescent="0.35">
      <c r="A216" s="2">
        <v>42010</v>
      </c>
      <c r="B216">
        <f t="shared" si="3"/>
        <v>2015</v>
      </c>
      <c r="C216" s="1" t="s">
        <v>8</v>
      </c>
      <c r="D216" s="3">
        <v>104.78</v>
      </c>
      <c r="E216" t="s">
        <v>8</v>
      </c>
    </row>
    <row r="217" spans="1:5" x14ac:dyDescent="0.35">
      <c r="A217" s="2">
        <v>42010</v>
      </c>
      <c r="B217">
        <f t="shared" si="3"/>
        <v>2015</v>
      </c>
      <c r="C217" s="1" t="s">
        <v>12</v>
      </c>
      <c r="D217" s="3">
        <v>4</v>
      </c>
      <c r="E217" t="s">
        <v>12</v>
      </c>
    </row>
    <row r="218" spans="1:5" x14ac:dyDescent="0.35">
      <c r="A218" s="2">
        <v>42010</v>
      </c>
      <c r="B218">
        <f t="shared" si="3"/>
        <v>2015</v>
      </c>
      <c r="C218" s="1" t="s">
        <v>49</v>
      </c>
      <c r="D218" s="3">
        <v>6</v>
      </c>
      <c r="E218" s="1" t="s">
        <v>49</v>
      </c>
    </row>
    <row r="219" spans="1:5" x14ac:dyDescent="0.35">
      <c r="A219" s="2">
        <v>42010</v>
      </c>
      <c r="B219">
        <f t="shared" si="3"/>
        <v>2015</v>
      </c>
      <c r="C219" s="1" t="s">
        <v>50</v>
      </c>
      <c r="D219" s="4">
        <v>18.72</v>
      </c>
      <c r="E219" s="1" t="s">
        <v>50</v>
      </c>
    </row>
    <row r="220" spans="1:5" x14ac:dyDescent="0.35">
      <c r="A220" s="2">
        <v>42011</v>
      </c>
      <c r="B220">
        <f t="shared" si="3"/>
        <v>2015</v>
      </c>
      <c r="C220" s="1" t="s">
        <v>2</v>
      </c>
      <c r="D220" s="3">
        <v>68</v>
      </c>
      <c r="E220" t="s">
        <v>54</v>
      </c>
    </row>
    <row r="221" spans="1:5" x14ac:dyDescent="0.35">
      <c r="A221" s="2">
        <v>42011</v>
      </c>
      <c r="B221">
        <f t="shared" si="3"/>
        <v>2015</v>
      </c>
      <c r="C221" s="1" t="s">
        <v>7</v>
      </c>
      <c r="D221" s="3">
        <v>52</v>
      </c>
      <c r="E221" t="s">
        <v>55</v>
      </c>
    </row>
    <row r="222" spans="1:5" x14ac:dyDescent="0.35">
      <c r="A222" s="2">
        <v>42011</v>
      </c>
      <c r="B222">
        <f t="shared" si="3"/>
        <v>2015</v>
      </c>
      <c r="C222" s="1" t="s">
        <v>4</v>
      </c>
      <c r="D222" s="3">
        <v>33</v>
      </c>
      <c r="E222" t="s">
        <v>54</v>
      </c>
    </row>
    <row r="223" spans="1:5" x14ac:dyDescent="0.35">
      <c r="A223" s="2">
        <v>42011</v>
      </c>
      <c r="B223">
        <f t="shared" si="3"/>
        <v>2015</v>
      </c>
      <c r="C223" s="1" t="s">
        <v>9</v>
      </c>
      <c r="D223" s="3">
        <v>16</v>
      </c>
      <c r="E223" t="s">
        <v>55</v>
      </c>
    </row>
    <row r="224" spans="1:5" x14ac:dyDescent="0.35">
      <c r="A224" s="2">
        <v>42011</v>
      </c>
      <c r="B224">
        <f t="shared" si="3"/>
        <v>2015</v>
      </c>
      <c r="C224" s="1" t="s">
        <v>3</v>
      </c>
      <c r="D224" s="3">
        <v>40</v>
      </c>
      <c r="E224" t="s">
        <v>54</v>
      </c>
    </row>
    <row r="225" spans="1:5" x14ac:dyDescent="0.35">
      <c r="A225" s="2">
        <v>42011</v>
      </c>
      <c r="B225">
        <f t="shared" si="3"/>
        <v>2015</v>
      </c>
      <c r="C225" s="1" t="s">
        <v>10</v>
      </c>
      <c r="D225" s="3">
        <v>15</v>
      </c>
      <c r="E225" t="s">
        <v>55</v>
      </c>
    </row>
    <row r="226" spans="1:5" x14ac:dyDescent="0.35">
      <c r="A226" s="2">
        <v>42011</v>
      </c>
      <c r="B226">
        <f t="shared" si="3"/>
        <v>2015</v>
      </c>
      <c r="C226" s="1" t="s">
        <v>6</v>
      </c>
      <c r="D226" s="3">
        <v>55</v>
      </c>
      <c r="E226" t="s">
        <v>54</v>
      </c>
    </row>
    <row r="227" spans="1:5" x14ac:dyDescent="0.35">
      <c r="A227" s="2">
        <v>42011</v>
      </c>
      <c r="B227">
        <f t="shared" si="3"/>
        <v>2015</v>
      </c>
      <c r="C227" s="1" t="s">
        <v>11</v>
      </c>
      <c r="D227" s="3">
        <v>31</v>
      </c>
      <c r="E227" t="s">
        <v>55</v>
      </c>
    </row>
    <row r="228" spans="1:5" x14ac:dyDescent="0.35">
      <c r="A228" s="2">
        <v>42011</v>
      </c>
      <c r="B228">
        <f t="shared" si="3"/>
        <v>2015</v>
      </c>
      <c r="C228" s="1" t="s">
        <v>8</v>
      </c>
      <c r="D228" s="3">
        <v>99.2</v>
      </c>
      <c r="E228" t="s">
        <v>8</v>
      </c>
    </row>
    <row r="229" spans="1:5" x14ac:dyDescent="0.35">
      <c r="A229" s="2">
        <v>42011</v>
      </c>
      <c r="B229">
        <f t="shared" si="3"/>
        <v>2015</v>
      </c>
      <c r="C229" s="1" t="s">
        <v>12</v>
      </c>
      <c r="D229" s="3">
        <v>4</v>
      </c>
      <c r="E229" t="s">
        <v>12</v>
      </c>
    </row>
    <row r="230" spans="1:5" x14ac:dyDescent="0.35">
      <c r="A230" s="2">
        <v>42011</v>
      </c>
      <c r="B230">
        <f t="shared" si="3"/>
        <v>2015</v>
      </c>
      <c r="C230" s="1" t="s">
        <v>49</v>
      </c>
      <c r="D230" s="3">
        <v>5</v>
      </c>
      <c r="E230" s="1" t="s">
        <v>49</v>
      </c>
    </row>
    <row r="231" spans="1:5" x14ac:dyDescent="0.35">
      <c r="A231" s="2">
        <v>42011</v>
      </c>
      <c r="B231">
        <f t="shared" si="3"/>
        <v>2015</v>
      </c>
      <c r="C231" s="1" t="s">
        <v>50</v>
      </c>
      <c r="D231" s="4">
        <v>16.850000000000001</v>
      </c>
      <c r="E231" s="1" t="s">
        <v>50</v>
      </c>
    </row>
    <row r="232" spans="1:5" x14ac:dyDescent="0.35">
      <c r="A232" s="2">
        <v>42012</v>
      </c>
      <c r="B232">
        <f t="shared" si="3"/>
        <v>2015</v>
      </c>
      <c r="C232" s="1" t="s">
        <v>2</v>
      </c>
      <c r="D232" s="3">
        <v>69</v>
      </c>
      <c r="E232" t="s">
        <v>54</v>
      </c>
    </row>
    <row r="233" spans="1:5" x14ac:dyDescent="0.35">
      <c r="A233" s="2">
        <v>42012</v>
      </c>
      <c r="B233">
        <f t="shared" si="3"/>
        <v>2015</v>
      </c>
      <c r="C233" s="1" t="s">
        <v>7</v>
      </c>
      <c r="D233" s="3">
        <v>48</v>
      </c>
      <c r="E233" t="s">
        <v>55</v>
      </c>
    </row>
    <row r="234" spans="1:5" x14ac:dyDescent="0.35">
      <c r="A234" s="2">
        <v>42012</v>
      </c>
      <c r="B234">
        <f t="shared" si="3"/>
        <v>2015</v>
      </c>
      <c r="C234" s="1" t="s">
        <v>4</v>
      </c>
      <c r="D234" s="3">
        <v>39</v>
      </c>
      <c r="E234" t="s">
        <v>54</v>
      </c>
    </row>
    <row r="235" spans="1:5" x14ac:dyDescent="0.35">
      <c r="A235" s="2">
        <v>42012</v>
      </c>
      <c r="B235">
        <f t="shared" si="3"/>
        <v>2015</v>
      </c>
      <c r="C235" s="1" t="s">
        <v>9</v>
      </c>
      <c r="D235" s="3">
        <v>20</v>
      </c>
      <c r="E235" t="s">
        <v>55</v>
      </c>
    </row>
    <row r="236" spans="1:5" x14ac:dyDescent="0.35">
      <c r="A236" s="2">
        <v>42012</v>
      </c>
      <c r="B236">
        <f t="shared" si="3"/>
        <v>2015</v>
      </c>
      <c r="C236" s="1" t="s">
        <v>3</v>
      </c>
      <c r="D236" s="3">
        <v>50</v>
      </c>
      <c r="E236" t="s">
        <v>54</v>
      </c>
    </row>
    <row r="237" spans="1:5" x14ac:dyDescent="0.35">
      <c r="A237" s="2">
        <v>42012</v>
      </c>
      <c r="B237">
        <f t="shared" si="3"/>
        <v>2015</v>
      </c>
      <c r="C237" s="1" t="s">
        <v>10</v>
      </c>
      <c r="D237" s="3">
        <v>15</v>
      </c>
      <c r="E237" t="s">
        <v>55</v>
      </c>
    </row>
    <row r="238" spans="1:5" x14ac:dyDescent="0.35">
      <c r="A238" s="2">
        <v>42012</v>
      </c>
      <c r="B238">
        <f t="shared" si="3"/>
        <v>2015</v>
      </c>
      <c r="C238" s="1" t="s">
        <v>6</v>
      </c>
      <c r="D238" s="3">
        <v>64</v>
      </c>
      <c r="E238" t="s">
        <v>54</v>
      </c>
    </row>
    <row r="239" spans="1:5" x14ac:dyDescent="0.35">
      <c r="A239" s="2">
        <v>42012</v>
      </c>
      <c r="B239">
        <f t="shared" si="3"/>
        <v>2015</v>
      </c>
      <c r="C239" s="1" t="s">
        <v>11</v>
      </c>
      <c r="D239" s="3">
        <v>32</v>
      </c>
      <c r="E239" t="s">
        <v>55</v>
      </c>
    </row>
    <row r="240" spans="1:5" x14ac:dyDescent="0.35">
      <c r="A240" s="2">
        <v>42012</v>
      </c>
      <c r="B240">
        <f t="shared" si="3"/>
        <v>2015</v>
      </c>
      <c r="C240" s="1" t="s">
        <v>8</v>
      </c>
      <c r="D240" s="3">
        <v>104.47</v>
      </c>
      <c r="E240" t="s">
        <v>8</v>
      </c>
    </row>
    <row r="241" spans="1:5" x14ac:dyDescent="0.35">
      <c r="A241" s="2">
        <v>42012</v>
      </c>
      <c r="B241">
        <f t="shared" si="3"/>
        <v>2015</v>
      </c>
      <c r="C241" s="1" t="s">
        <v>12</v>
      </c>
      <c r="D241" s="3">
        <v>4</v>
      </c>
      <c r="E241" t="s">
        <v>12</v>
      </c>
    </row>
    <row r="242" spans="1:5" x14ac:dyDescent="0.35">
      <c r="A242" s="2">
        <v>42012</v>
      </c>
      <c r="B242">
        <f t="shared" si="3"/>
        <v>2015</v>
      </c>
      <c r="C242" s="1" t="s">
        <v>49</v>
      </c>
      <c r="D242" s="3">
        <v>5</v>
      </c>
      <c r="E242" s="1" t="s">
        <v>49</v>
      </c>
    </row>
    <row r="243" spans="1:5" x14ac:dyDescent="0.35">
      <c r="A243" s="2">
        <v>42012</v>
      </c>
      <c r="B243">
        <f t="shared" si="3"/>
        <v>2015</v>
      </c>
      <c r="C243" s="1" t="s">
        <v>50</v>
      </c>
      <c r="D243" s="4">
        <v>19.149999999999999</v>
      </c>
      <c r="E243" s="1" t="s">
        <v>50</v>
      </c>
    </row>
    <row r="244" spans="1:5" x14ac:dyDescent="0.35">
      <c r="A244" s="2">
        <v>42013</v>
      </c>
      <c r="B244">
        <f t="shared" si="3"/>
        <v>2015</v>
      </c>
      <c r="C244" s="1" t="s">
        <v>2</v>
      </c>
      <c r="D244" s="3">
        <v>57</v>
      </c>
      <c r="E244" t="s">
        <v>54</v>
      </c>
    </row>
    <row r="245" spans="1:5" x14ac:dyDescent="0.35">
      <c r="A245" s="2">
        <v>42013</v>
      </c>
      <c r="B245">
        <f t="shared" si="3"/>
        <v>2015</v>
      </c>
      <c r="C245" s="1" t="s">
        <v>7</v>
      </c>
      <c r="D245" s="3">
        <v>53</v>
      </c>
      <c r="E245" t="s">
        <v>55</v>
      </c>
    </row>
    <row r="246" spans="1:5" x14ac:dyDescent="0.35">
      <c r="A246" s="2">
        <v>42013</v>
      </c>
      <c r="B246">
        <f t="shared" si="3"/>
        <v>2015</v>
      </c>
      <c r="C246" s="1" t="s">
        <v>4</v>
      </c>
      <c r="D246" s="3">
        <v>28</v>
      </c>
      <c r="E246" t="s">
        <v>54</v>
      </c>
    </row>
    <row r="247" spans="1:5" x14ac:dyDescent="0.35">
      <c r="A247" s="2">
        <v>42013</v>
      </c>
      <c r="B247">
        <f t="shared" si="3"/>
        <v>2015</v>
      </c>
      <c r="C247" s="1" t="s">
        <v>9</v>
      </c>
      <c r="D247" s="3">
        <v>17</v>
      </c>
      <c r="E247" t="s">
        <v>55</v>
      </c>
    </row>
    <row r="248" spans="1:5" x14ac:dyDescent="0.35">
      <c r="A248" s="2">
        <v>42013</v>
      </c>
      <c r="B248">
        <f t="shared" si="3"/>
        <v>2015</v>
      </c>
      <c r="C248" s="1" t="s">
        <v>3</v>
      </c>
      <c r="D248" s="3">
        <v>42</v>
      </c>
      <c r="E248" t="s">
        <v>54</v>
      </c>
    </row>
    <row r="249" spans="1:5" x14ac:dyDescent="0.35">
      <c r="A249" s="2">
        <v>42013</v>
      </c>
      <c r="B249">
        <f t="shared" si="3"/>
        <v>2015</v>
      </c>
      <c r="C249" s="1" t="s">
        <v>10</v>
      </c>
      <c r="D249" s="3">
        <v>14</v>
      </c>
      <c r="E249" t="s">
        <v>55</v>
      </c>
    </row>
    <row r="250" spans="1:5" x14ac:dyDescent="0.35">
      <c r="A250" s="2">
        <v>42013</v>
      </c>
      <c r="B250">
        <f t="shared" si="3"/>
        <v>2015</v>
      </c>
      <c r="C250" s="1" t="s">
        <v>6</v>
      </c>
      <c r="D250" s="3">
        <v>57</v>
      </c>
      <c r="E250" t="s">
        <v>54</v>
      </c>
    </row>
    <row r="251" spans="1:5" x14ac:dyDescent="0.35">
      <c r="A251" s="2">
        <v>42013</v>
      </c>
      <c r="B251">
        <f t="shared" si="3"/>
        <v>2015</v>
      </c>
      <c r="C251" s="1" t="s">
        <v>11</v>
      </c>
      <c r="D251" s="3">
        <v>32</v>
      </c>
      <c r="E251" t="s">
        <v>55</v>
      </c>
    </row>
    <row r="252" spans="1:5" x14ac:dyDescent="0.35">
      <c r="A252" s="2">
        <v>42013</v>
      </c>
      <c r="B252">
        <f t="shared" si="3"/>
        <v>2015</v>
      </c>
      <c r="C252" s="1" t="s">
        <v>8</v>
      </c>
      <c r="D252" s="3">
        <v>96</v>
      </c>
      <c r="E252" t="s">
        <v>8</v>
      </c>
    </row>
    <row r="253" spans="1:5" x14ac:dyDescent="0.35">
      <c r="A253" s="2">
        <v>42013</v>
      </c>
      <c r="B253">
        <f t="shared" si="3"/>
        <v>2015</v>
      </c>
      <c r="C253" s="1" t="s">
        <v>12</v>
      </c>
      <c r="D253" s="3">
        <v>4</v>
      </c>
      <c r="E253" t="s">
        <v>12</v>
      </c>
    </row>
    <row r="254" spans="1:5" x14ac:dyDescent="0.35">
      <c r="A254" s="2">
        <v>42013</v>
      </c>
      <c r="B254">
        <f t="shared" si="3"/>
        <v>2015</v>
      </c>
      <c r="C254" s="1" t="s">
        <v>49</v>
      </c>
      <c r="D254" s="3">
        <v>5</v>
      </c>
      <c r="E254" s="1" t="s">
        <v>49</v>
      </c>
    </row>
    <row r="255" spans="1:5" x14ac:dyDescent="0.35">
      <c r="A255" s="2">
        <v>42013</v>
      </c>
      <c r="B255">
        <f t="shared" si="3"/>
        <v>2015</v>
      </c>
      <c r="C255" s="1" t="s">
        <v>50</v>
      </c>
      <c r="D255" s="4">
        <v>16</v>
      </c>
      <c r="E255" s="1" t="s">
        <v>50</v>
      </c>
    </row>
    <row r="256" spans="1:5" x14ac:dyDescent="0.35">
      <c r="A256" s="2">
        <v>42014</v>
      </c>
      <c r="B256">
        <f t="shared" si="3"/>
        <v>2015</v>
      </c>
      <c r="C256" s="1" t="s">
        <v>2</v>
      </c>
      <c r="D256" s="3">
        <v>72</v>
      </c>
      <c r="E256" t="s">
        <v>54</v>
      </c>
    </row>
    <row r="257" spans="1:5" x14ac:dyDescent="0.35">
      <c r="A257" s="2">
        <v>42014</v>
      </c>
      <c r="B257">
        <f t="shared" si="3"/>
        <v>2015</v>
      </c>
      <c r="C257" s="1" t="s">
        <v>7</v>
      </c>
      <c r="D257" s="3">
        <v>58</v>
      </c>
      <c r="E257" t="s">
        <v>55</v>
      </c>
    </row>
    <row r="258" spans="1:5" x14ac:dyDescent="0.35">
      <c r="A258" s="2">
        <v>42014</v>
      </c>
      <c r="B258">
        <f t="shared" si="3"/>
        <v>2015</v>
      </c>
      <c r="C258" s="1" t="s">
        <v>4</v>
      </c>
      <c r="D258" s="3">
        <v>39</v>
      </c>
      <c r="E258" t="s">
        <v>54</v>
      </c>
    </row>
    <row r="259" spans="1:5" x14ac:dyDescent="0.35">
      <c r="A259" s="2">
        <v>42014</v>
      </c>
      <c r="B259">
        <f t="shared" si="3"/>
        <v>2015</v>
      </c>
      <c r="C259" s="1" t="s">
        <v>9</v>
      </c>
      <c r="D259" s="3">
        <v>13</v>
      </c>
      <c r="E259" t="s">
        <v>55</v>
      </c>
    </row>
    <row r="260" spans="1:5" x14ac:dyDescent="0.35">
      <c r="A260" s="2">
        <v>42014</v>
      </c>
      <c r="B260">
        <f t="shared" si="3"/>
        <v>2015</v>
      </c>
      <c r="C260" s="1" t="s">
        <v>3</v>
      </c>
      <c r="D260" s="3">
        <v>39</v>
      </c>
      <c r="E260" t="s">
        <v>54</v>
      </c>
    </row>
    <row r="261" spans="1:5" x14ac:dyDescent="0.35">
      <c r="A261" s="2">
        <v>42014</v>
      </c>
      <c r="B261">
        <f t="shared" ref="B261:B324" si="4">YEAR(A261)</f>
        <v>2015</v>
      </c>
      <c r="C261" s="1" t="s">
        <v>10</v>
      </c>
      <c r="D261" s="3">
        <v>14</v>
      </c>
      <c r="E261" t="s">
        <v>55</v>
      </c>
    </row>
    <row r="262" spans="1:5" x14ac:dyDescent="0.35">
      <c r="A262" s="2">
        <v>42014</v>
      </c>
      <c r="B262">
        <f t="shared" si="4"/>
        <v>2015</v>
      </c>
      <c r="C262" s="1" t="s">
        <v>6</v>
      </c>
      <c r="D262" s="3">
        <v>56</v>
      </c>
      <c r="E262" t="s">
        <v>54</v>
      </c>
    </row>
    <row r="263" spans="1:5" x14ac:dyDescent="0.35">
      <c r="A263" s="2">
        <v>42014</v>
      </c>
      <c r="B263">
        <f t="shared" si="4"/>
        <v>2015</v>
      </c>
      <c r="C263" s="1" t="s">
        <v>11</v>
      </c>
      <c r="D263" s="3">
        <v>32</v>
      </c>
      <c r="E263" t="s">
        <v>55</v>
      </c>
    </row>
    <row r="264" spans="1:5" x14ac:dyDescent="0.35">
      <c r="A264" s="2">
        <v>42014</v>
      </c>
      <c r="B264">
        <f t="shared" si="4"/>
        <v>2015</v>
      </c>
      <c r="C264" s="1" t="s">
        <v>8</v>
      </c>
      <c r="D264" s="3">
        <v>106.59</v>
      </c>
      <c r="E264" t="s">
        <v>8</v>
      </c>
    </row>
    <row r="265" spans="1:5" x14ac:dyDescent="0.35">
      <c r="A265" s="2">
        <v>42014</v>
      </c>
      <c r="B265">
        <f t="shared" si="4"/>
        <v>2015</v>
      </c>
      <c r="C265" s="1" t="s">
        <v>12</v>
      </c>
      <c r="D265" s="3">
        <v>4</v>
      </c>
      <c r="E265" t="s">
        <v>12</v>
      </c>
    </row>
    <row r="266" spans="1:5" x14ac:dyDescent="0.35">
      <c r="A266" s="2">
        <v>42014</v>
      </c>
      <c r="B266">
        <f t="shared" si="4"/>
        <v>2015</v>
      </c>
      <c r="C266" s="1" t="s">
        <v>49</v>
      </c>
      <c r="D266" s="3">
        <v>6</v>
      </c>
      <c r="E266" s="1" t="s">
        <v>49</v>
      </c>
    </row>
    <row r="267" spans="1:5" x14ac:dyDescent="0.35">
      <c r="A267" s="2">
        <v>42014</v>
      </c>
      <c r="B267">
        <f t="shared" si="4"/>
        <v>2015</v>
      </c>
      <c r="C267" s="1" t="s">
        <v>50</v>
      </c>
      <c r="D267" s="4">
        <v>17.600000000000001</v>
      </c>
      <c r="E267" s="1" t="s">
        <v>50</v>
      </c>
    </row>
    <row r="268" spans="1:5" x14ac:dyDescent="0.35">
      <c r="A268" s="2">
        <v>42015</v>
      </c>
      <c r="B268">
        <f t="shared" si="4"/>
        <v>2015</v>
      </c>
      <c r="C268" s="1" t="s">
        <v>2</v>
      </c>
      <c r="D268" s="3">
        <v>64</v>
      </c>
      <c r="E268" t="s">
        <v>54</v>
      </c>
    </row>
    <row r="269" spans="1:5" x14ac:dyDescent="0.35">
      <c r="A269" s="2">
        <v>42015</v>
      </c>
      <c r="B269">
        <f t="shared" si="4"/>
        <v>2015</v>
      </c>
      <c r="C269" s="1" t="s">
        <v>7</v>
      </c>
      <c r="D269" s="3">
        <v>55</v>
      </c>
      <c r="E269" t="s">
        <v>55</v>
      </c>
    </row>
    <row r="270" spans="1:5" x14ac:dyDescent="0.35">
      <c r="A270" s="2">
        <v>42015</v>
      </c>
      <c r="B270">
        <f t="shared" si="4"/>
        <v>2015</v>
      </c>
      <c r="C270" s="1" t="s">
        <v>4</v>
      </c>
      <c r="D270" s="3">
        <v>28</v>
      </c>
      <c r="E270" t="s">
        <v>54</v>
      </c>
    </row>
    <row r="271" spans="1:5" x14ac:dyDescent="0.35">
      <c r="A271" s="2">
        <v>42015</v>
      </c>
      <c r="B271">
        <f t="shared" si="4"/>
        <v>2015</v>
      </c>
      <c r="C271" s="1" t="s">
        <v>9</v>
      </c>
      <c r="D271" s="3">
        <v>16</v>
      </c>
      <c r="E271" t="s">
        <v>55</v>
      </c>
    </row>
    <row r="272" spans="1:5" x14ac:dyDescent="0.35">
      <c r="A272" s="2">
        <v>42015</v>
      </c>
      <c r="B272">
        <f t="shared" si="4"/>
        <v>2015</v>
      </c>
      <c r="C272" s="1" t="s">
        <v>3</v>
      </c>
      <c r="D272" s="3">
        <v>40</v>
      </c>
      <c r="E272" t="s">
        <v>54</v>
      </c>
    </row>
    <row r="273" spans="1:5" x14ac:dyDescent="0.35">
      <c r="A273" s="2">
        <v>42015</v>
      </c>
      <c r="B273">
        <f t="shared" si="4"/>
        <v>2015</v>
      </c>
      <c r="C273" s="1" t="s">
        <v>10</v>
      </c>
      <c r="D273" s="3">
        <v>11</v>
      </c>
      <c r="E273" t="s">
        <v>55</v>
      </c>
    </row>
    <row r="274" spans="1:5" x14ac:dyDescent="0.35">
      <c r="A274" s="2">
        <v>42015</v>
      </c>
      <c r="B274">
        <f t="shared" si="4"/>
        <v>2015</v>
      </c>
      <c r="C274" s="1" t="s">
        <v>6</v>
      </c>
      <c r="D274" s="3">
        <v>63</v>
      </c>
      <c r="E274" t="s">
        <v>54</v>
      </c>
    </row>
    <row r="275" spans="1:5" x14ac:dyDescent="0.35">
      <c r="A275" s="2">
        <v>42015</v>
      </c>
      <c r="B275">
        <f t="shared" si="4"/>
        <v>2015</v>
      </c>
      <c r="C275" s="1" t="s">
        <v>11</v>
      </c>
      <c r="D275" s="3">
        <v>34</v>
      </c>
      <c r="E275" t="s">
        <v>55</v>
      </c>
    </row>
    <row r="276" spans="1:5" x14ac:dyDescent="0.35">
      <c r="A276" s="2">
        <v>42015</v>
      </c>
      <c r="B276">
        <f t="shared" si="4"/>
        <v>2015</v>
      </c>
      <c r="C276" s="1" t="s">
        <v>8</v>
      </c>
      <c r="D276" s="3">
        <v>99.52</v>
      </c>
      <c r="E276" t="s">
        <v>8</v>
      </c>
    </row>
    <row r="277" spans="1:5" x14ac:dyDescent="0.35">
      <c r="A277" s="2">
        <v>42015</v>
      </c>
      <c r="B277">
        <f t="shared" si="4"/>
        <v>2015</v>
      </c>
      <c r="C277" s="1" t="s">
        <v>12</v>
      </c>
      <c r="D277" s="3">
        <v>4</v>
      </c>
      <c r="E277" t="s">
        <v>12</v>
      </c>
    </row>
    <row r="278" spans="1:5" x14ac:dyDescent="0.35">
      <c r="A278" s="2">
        <v>42015</v>
      </c>
      <c r="B278">
        <f t="shared" si="4"/>
        <v>2015</v>
      </c>
      <c r="C278" s="1" t="s">
        <v>49</v>
      </c>
      <c r="D278" s="3">
        <v>5</v>
      </c>
      <c r="E278" s="1" t="s">
        <v>49</v>
      </c>
    </row>
    <row r="279" spans="1:5" x14ac:dyDescent="0.35">
      <c r="A279" s="2">
        <v>42015</v>
      </c>
      <c r="B279">
        <f t="shared" si="4"/>
        <v>2015</v>
      </c>
      <c r="C279" s="1" t="s">
        <v>50</v>
      </c>
      <c r="D279" s="4">
        <v>16.98</v>
      </c>
      <c r="E279" s="1" t="s">
        <v>50</v>
      </c>
    </row>
    <row r="280" spans="1:5" x14ac:dyDescent="0.35">
      <c r="A280" s="2">
        <v>42016</v>
      </c>
      <c r="B280">
        <f t="shared" si="4"/>
        <v>2015</v>
      </c>
      <c r="C280" s="1" t="s">
        <v>2</v>
      </c>
      <c r="D280" s="3">
        <v>69</v>
      </c>
      <c r="E280" t="s">
        <v>54</v>
      </c>
    </row>
    <row r="281" spans="1:5" x14ac:dyDescent="0.35">
      <c r="A281" s="2">
        <v>42016</v>
      </c>
      <c r="B281">
        <f t="shared" si="4"/>
        <v>2015</v>
      </c>
      <c r="C281" s="1" t="s">
        <v>7</v>
      </c>
      <c r="D281" s="3">
        <v>48</v>
      </c>
      <c r="E281" t="s">
        <v>55</v>
      </c>
    </row>
    <row r="282" spans="1:5" x14ac:dyDescent="0.35">
      <c r="A282" s="2">
        <v>42016</v>
      </c>
      <c r="B282">
        <f t="shared" si="4"/>
        <v>2015</v>
      </c>
      <c r="C282" s="1" t="s">
        <v>4</v>
      </c>
      <c r="D282" s="3">
        <v>36</v>
      </c>
      <c r="E282" t="s">
        <v>54</v>
      </c>
    </row>
    <row r="283" spans="1:5" x14ac:dyDescent="0.35">
      <c r="A283" s="2">
        <v>42016</v>
      </c>
      <c r="B283">
        <f t="shared" si="4"/>
        <v>2015</v>
      </c>
      <c r="C283" s="1" t="s">
        <v>9</v>
      </c>
      <c r="D283" s="3">
        <v>19</v>
      </c>
      <c r="E283" t="s">
        <v>55</v>
      </c>
    </row>
    <row r="284" spans="1:5" x14ac:dyDescent="0.35">
      <c r="A284" s="2">
        <v>42016</v>
      </c>
      <c r="B284">
        <f t="shared" si="4"/>
        <v>2015</v>
      </c>
      <c r="C284" s="1" t="s">
        <v>3</v>
      </c>
      <c r="D284" s="3">
        <v>50</v>
      </c>
      <c r="E284" t="s">
        <v>54</v>
      </c>
    </row>
    <row r="285" spans="1:5" x14ac:dyDescent="0.35">
      <c r="A285" s="2">
        <v>42016</v>
      </c>
      <c r="B285">
        <f t="shared" si="4"/>
        <v>2015</v>
      </c>
      <c r="C285" s="1" t="s">
        <v>10</v>
      </c>
      <c r="D285" s="3">
        <v>13</v>
      </c>
      <c r="E285" t="s">
        <v>55</v>
      </c>
    </row>
    <row r="286" spans="1:5" x14ac:dyDescent="0.35">
      <c r="A286" s="2">
        <v>42016</v>
      </c>
      <c r="B286">
        <f t="shared" si="4"/>
        <v>2015</v>
      </c>
      <c r="C286" s="1" t="s">
        <v>6</v>
      </c>
      <c r="D286" s="3">
        <v>60</v>
      </c>
      <c r="E286" t="s">
        <v>54</v>
      </c>
    </row>
    <row r="287" spans="1:5" x14ac:dyDescent="0.35">
      <c r="A287" s="2">
        <v>42016</v>
      </c>
      <c r="B287">
        <f t="shared" si="4"/>
        <v>2015</v>
      </c>
      <c r="C287" s="1" t="s">
        <v>11</v>
      </c>
      <c r="D287" s="3">
        <v>31</v>
      </c>
      <c r="E287" t="s">
        <v>55</v>
      </c>
    </row>
    <row r="288" spans="1:5" x14ac:dyDescent="0.35">
      <c r="A288" s="2">
        <v>42016</v>
      </c>
      <c r="B288">
        <f t="shared" si="4"/>
        <v>2015</v>
      </c>
      <c r="C288" s="1" t="s">
        <v>8</v>
      </c>
      <c r="D288" s="3">
        <v>101.06</v>
      </c>
      <c r="E288" t="s">
        <v>8</v>
      </c>
    </row>
    <row r="289" spans="1:5" x14ac:dyDescent="0.35">
      <c r="A289" s="2">
        <v>42016</v>
      </c>
      <c r="B289">
        <f t="shared" si="4"/>
        <v>2015</v>
      </c>
      <c r="C289" s="1" t="s">
        <v>12</v>
      </c>
      <c r="D289" s="3">
        <v>3</v>
      </c>
      <c r="E289" t="s">
        <v>12</v>
      </c>
    </row>
    <row r="290" spans="1:5" x14ac:dyDescent="0.35">
      <c r="A290" s="2">
        <v>42016</v>
      </c>
      <c r="B290">
        <f t="shared" si="4"/>
        <v>2015</v>
      </c>
      <c r="C290" s="1" t="s">
        <v>49</v>
      </c>
      <c r="D290" s="3">
        <v>6</v>
      </c>
      <c r="E290" s="1" t="s">
        <v>49</v>
      </c>
    </row>
    <row r="291" spans="1:5" x14ac:dyDescent="0.35">
      <c r="A291" s="2">
        <v>42016</v>
      </c>
      <c r="B291">
        <f t="shared" si="4"/>
        <v>2015</v>
      </c>
      <c r="C291" s="1" t="s">
        <v>50</v>
      </c>
      <c r="D291" s="4">
        <v>18.54</v>
      </c>
      <c r="E291" s="1" t="s">
        <v>50</v>
      </c>
    </row>
    <row r="292" spans="1:5" x14ac:dyDescent="0.35">
      <c r="A292" s="2">
        <v>42370</v>
      </c>
      <c r="B292">
        <f t="shared" si="4"/>
        <v>2016</v>
      </c>
      <c r="C292" s="1" t="s">
        <v>2</v>
      </c>
      <c r="D292" s="3">
        <v>57</v>
      </c>
      <c r="E292" t="s">
        <v>54</v>
      </c>
    </row>
    <row r="293" spans="1:5" x14ac:dyDescent="0.35">
      <c r="A293" s="2">
        <v>42370</v>
      </c>
      <c r="B293">
        <f t="shared" si="4"/>
        <v>2016</v>
      </c>
      <c r="C293" s="1" t="s">
        <v>7</v>
      </c>
      <c r="D293" s="3">
        <v>47</v>
      </c>
      <c r="E293" t="s">
        <v>55</v>
      </c>
    </row>
    <row r="294" spans="1:5" x14ac:dyDescent="0.35">
      <c r="A294" s="2">
        <v>42370</v>
      </c>
      <c r="B294">
        <f t="shared" si="4"/>
        <v>2016</v>
      </c>
      <c r="C294" s="1" t="s">
        <v>4</v>
      </c>
      <c r="D294" s="3">
        <v>35</v>
      </c>
      <c r="E294" t="s">
        <v>54</v>
      </c>
    </row>
    <row r="295" spans="1:5" x14ac:dyDescent="0.35">
      <c r="A295" s="2">
        <v>42370</v>
      </c>
      <c r="B295">
        <f t="shared" si="4"/>
        <v>2016</v>
      </c>
      <c r="C295" s="1" t="s">
        <v>9</v>
      </c>
      <c r="D295" s="3">
        <v>17</v>
      </c>
      <c r="E295" t="s">
        <v>55</v>
      </c>
    </row>
    <row r="296" spans="1:5" x14ac:dyDescent="0.35">
      <c r="A296" s="2">
        <v>42370</v>
      </c>
      <c r="B296">
        <f t="shared" si="4"/>
        <v>2016</v>
      </c>
      <c r="C296" s="1" t="s">
        <v>3</v>
      </c>
      <c r="D296" s="3">
        <v>41</v>
      </c>
      <c r="E296" t="s">
        <v>54</v>
      </c>
    </row>
    <row r="297" spans="1:5" x14ac:dyDescent="0.35">
      <c r="A297" s="2">
        <v>42370</v>
      </c>
      <c r="B297">
        <f t="shared" si="4"/>
        <v>2016</v>
      </c>
      <c r="C297" s="1" t="s">
        <v>10</v>
      </c>
      <c r="D297" s="3">
        <v>11</v>
      </c>
      <c r="E297" t="s">
        <v>55</v>
      </c>
    </row>
    <row r="298" spans="1:5" x14ac:dyDescent="0.35">
      <c r="A298" s="2">
        <v>42370</v>
      </c>
      <c r="B298">
        <f t="shared" si="4"/>
        <v>2016</v>
      </c>
      <c r="C298" s="1" t="s">
        <v>6</v>
      </c>
      <c r="D298" s="3">
        <v>61</v>
      </c>
      <c r="E298" t="s">
        <v>54</v>
      </c>
    </row>
    <row r="299" spans="1:5" x14ac:dyDescent="0.35">
      <c r="A299" s="2">
        <v>42370</v>
      </c>
      <c r="B299">
        <f t="shared" si="4"/>
        <v>2016</v>
      </c>
      <c r="C299" s="1" t="s">
        <v>11</v>
      </c>
      <c r="D299" s="3">
        <v>35</v>
      </c>
      <c r="E299" t="s">
        <v>55</v>
      </c>
    </row>
    <row r="300" spans="1:5" x14ac:dyDescent="0.35">
      <c r="A300" s="2">
        <v>42370</v>
      </c>
      <c r="B300">
        <f t="shared" si="4"/>
        <v>2016</v>
      </c>
      <c r="C300" s="1" t="s">
        <v>8</v>
      </c>
      <c r="D300" s="3">
        <v>88.16</v>
      </c>
      <c r="E300" t="s">
        <v>8</v>
      </c>
    </row>
    <row r="301" spans="1:5" x14ac:dyDescent="0.35">
      <c r="A301" s="2">
        <v>42370</v>
      </c>
      <c r="B301">
        <f t="shared" si="4"/>
        <v>2016</v>
      </c>
      <c r="C301" s="1" t="s">
        <v>12</v>
      </c>
      <c r="D301" s="3">
        <v>3</v>
      </c>
      <c r="E301" t="s">
        <v>12</v>
      </c>
    </row>
    <row r="302" spans="1:5" x14ac:dyDescent="0.35">
      <c r="A302" s="2">
        <v>42370</v>
      </c>
      <c r="B302">
        <f t="shared" si="4"/>
        <v>2016</v>
      </c>
      <c r="C302" s="1" t="s">
        <v>49</v>
      </c>
      <c r="D302" s="3">
        <v>3</v>
      </c>
      <c r="E302" s="1" t="s">
        <v>49</v>
      </c>
    </row>
    <row r="303" spans="1:5" x14ac:dyDescent="0.35">
      <c r="A303" s="2">
        <v>42370</v>
      </c>
      <c r="B303">
        <f t="shared" si="4"/>
        <v>2016</v>
      </c>
      <c r="C303" s="1" t="s">
        <v>50</v>
      </c>
      <c r="D303" s="4">
        <v>16.8</v>
      </c>
      <c r="E303" s="1" t="s">
        <v>50</v>
      </c>
    </row>
    <row r="304" spans="1:5" x14ac:dyDescent="0.35">
      <c r="A304" s="2">
        <v>42371</v>
      </c>
      <c r="B304">
        <f t="shared" si="4"/>
        <v>2016</v>
      </c>
      <c r="C304" s="1" t="s">
        <v>2</v>
      </c>
      <c r="D304" s="3">
        <v>72</v>
      </c>
      <c r="E304" t="s">
        <v>54</v>
      </c>
    </row>
    <row r="305" spans="1:5" x14ac:dyDescent="0.35">
      <c r="A305" s="2">
        <v>42371</v>
      </c>
      <c r="B305">
        <f t="shared" si="4"/>
        <v>2016</v>
      </c>
      <c r="C305" s="1" t="s">
        <v>7</v>
      </c>
      <c r="D305" s="3">
        <v>57</v>
      </c>
      <c r="E305" t="s">
        <v>55</v>
      </c>
    </row>
    <row r="306" spans="1:5" x14ac:dyDescent="0.35">
      <c r="A306" s="2">
        <v>42371</v>
      </c>
      <c r="B306">
        <f t="shared" si="4"/>
        <v>2016</v>
      </c>
      <c r="C306" s="1" t="s">
        <v>4</v>
      </c>
      <c r="D306" s="3">
        <v>29</v>
      </c>
      <c r="E306" t="s">
        <v>54</v>
      </c>
    </row>
    <row r="307" spans="1:5" x14ac:dyDescent="0.35">
      <c r="A307" s="2">
        <v>42371</v>
      </c>
      <c r="B307">
        <f t="shared" si="4"/>
        <v>2016</v>
      </c>
      <c r="C307" s="1" t="s">
        <v>9</v>
      </c>
      <c r="D307" s="3">
        <v>16</v>
      </c>
      <c r="E307" t="s">
        <v>55</v>
      </c>
    </row>
    <row r="308" spans="1:5" x14ac:dyDescent="0.35">
      <c r="A308" s="2">
        <v>42371</v>
      </c>
      <c r="B308">
        <f t="shared" si="4"/>
        <v>2016</v>
      </c>
      <c r="C308" s="1" t="s">
        <v>3</v>
      </c>
      <c r="D308" s="3">
        <v>49</v>
      </c>
      <c r="E308" t="s">
        <v>54</v>
      </c>
    </row>
    <row r="309" spans="1:5" x14ac:dyDescent="0.35">
      <c r="A309" s="2">
        <v>42371</v>
      </c>
      <c r="B309">
        <f t="shared" si="4"/>
        <v>2016</v>
      </c>
      <c r="C309" s="1" t="s">
        <v>10</v>
      </c>
      <c r="D309" s="3">
        <v>19</v>
      </c>
      <c r="E309" t="s">
        <v>55</v>
      </c>
    </row>
    <row r="310" spans="1:5" x14ac:dyDescent="0.35">
      <c r="A310" s="2">
        <v>42371</v>
      </c>
      <c r="B310">
        <f t="shared" si="4"/>
        <v>2016</v>
      </c>
      <c r="C310" s="1" t="s">
        <v>6</v>
      </c>
      <c r="D310" s="3">
        <v>57</v>
      </c>
      <c r="E310" t="s">
        <v>54</v>
      </c>
    </row>
    <row r="311" spans="1:5" x14ac:dyDescent="0.35">
      <c r="A311" s="2">
        <v>42371</v>
      </c>
      <c r="B311">
        <f t="shared" si="4"/>
        <v>2016</v>
      </c>
      <c r="C311" s="1" t="s">
        <v>11</v>
      </c>
      <c r="D311" s="3">
        <v>35</v>
      </c>
      <c r="E311" t="s">
        <v>55</v>
      </c>
    </row>
    <row r="312" spans="1:5" x14ac:dyDescent="0.35">
      <c r="A312" s="2">
        <v>42371</v>
      </c>
      <c r="B312">
        <f t="shared" si="4"/>
        <v>2016</v>
      </c>
      <c r="C312" s="1" t="s">
        <v>8</v>
      </c>
      <c r="D312" s="3">
        <v>96.86</v>
      </c>
      <c r="E312" t="s">
        <v>8</v>
      </c>
    </row>
    <row r="313" spans="1:5" x14ac:dyDescent="0.35">
      <c r="A313" s="2">
        <v>42371</v>
      </c>
      <c r="B313">
        <f t="shared" si="4"/>
        <v>2016</v>
      </c>
      <c r="C313" s="1" t="s">
        <v>12</v>
      </c>
      <c r="D313" s="3">
        <v>4</v>
      </c>
      <c r="E313" t="s">
        <v>12</v>
      </c>
    </row>
    <row r="314" spans="1:5" x14ac:dyDescent="0.35">
      <c r="A314" s="2">
        <v>42371</v>
      </c>
      <c r="B314">
        <f t="shared" si="4"/>
        <v>2016</v>
      </c>
      <c r="C314" s="1" t="s">
        <v>49</v>
      </c>
      <c r="D314" s="3">
        <v>4</v>
      </c>
      <c r="E314" s="1" t="s">
        <v>49</v>
      </c>
    </row>
    <row r="315" spans="1:5" x14ac:dyDescent="0.35">
      <c r="A315" s="2">
        <v>42371</v>
      </c>
      <c r="B315">
        <f t="shared" si="4"/>
        <v>2016</v>
      </c>
      <c r="C315" s="1" t="s">
        <v>50</v>
      </c>
      <c r="D315" s="4">
        <v>17.899999999999999</v>
      </c>
      <c r="E315" s="1" t="s">
        <v>50</v>
      </c>
    </row>
    <row r="316" spans="1:5" x14ac:dyDescent="0.35">
      <c r="A316" s="2">
        <v>42372</v>
      </c>
      <c r="B316">
        <f t="shared" si="4"/>
        <v>2016</v>
      </c>
      <c r="C316" s="1" t="s">
        <v>2</v>
      </c>
      <c r="D316" s="3">
        <v>61</v>
      </c>
      <c r="E316" t="s">
        <v>54</v>
      </c>
    </row>
    <row r="317" spans="1:5" x14ac:dyDescent="0.35">
      <c r="A317" s="2">
        <v>42372</v>
      </c>
      <c r="B317">
        <f t="shared" si="4"/>
        <v>2016</v>
      </c>
      <c r="C317" s="1" t="s">
        <v>7</v>
      </c>
      <c r="D317" s="3">
        <v>52</v>
      </c>
      <c r="E317" t="s">
        <v>55</v>
      </c>
    </row>
    <row r="318" spans="1:5" x14ac:dyDescent="0.35">
      <c r="A318" s="2">
        <v>42372</v>
      </c>
      <c r="B318">
        <f t="shared" si="4"/>
        <v>2016</v>
      </c>
      <c r="C318" s="1" t="s">
        <v>4</v>
      </c>
      <c r="D318" s="3">
        <v>27</v>
      </c>
      <c r="E318" t="s">
        <v>54</v>
      </c>
    </row>
    <row r="319" spans="1:5" x14ac:dyDescent="0.35">
      <c r="A319" s="2">
        <v>42372</v>
      </c>
      <c r="B319">
        <f t="shared" si="4"/>
        <v>2016</v>
      </c>
      <c r="C319" s="1" t="s">
        <v>9</v>
      </c>
      <c r="D319" s="3">
        <v>13</v>
      </c>
      <c r="E319" t="s">
        <v>55</v>
      </c>
    </row>
    <row r="320" spans="1:5" x14ac:dyDescent="0.35">
      <c r="A320" s="2">
        <v>42372</v>
      </c>
      <c r="B320">
        <f t="shared" si="4"/>
        <v>2016</v>
      </c>
      <c r="C320" s="1" t="s">
        <v>3</v>
      </c>
      <c r="D320" s="3">
        <v>38</v>
      </c>
      <c r="E320" t="s">
        <v>54</v>
      </c>
    </row>
    <row r="321" spans="1:5" x14ac:dyDescent="0.35">
      <c r="A321" s="2">
        <v>42372</v>
      </c>
      <c r="B321">
        <f t="shared" si="4"/>
        <v>2016</v>
      </c>
      <c r="C321" s="1" t="s">
        <v>10</v>
      </c>
      <c r="D321" s="3">
        <v>17</v>
      </c>
      <c r="E321" t="s">
        <v>55</v>
      </c>
    </row>
    <row r="322" spans="1:5" x14ac:dyDescent="0.35">
      <c r="A322" s="2">
        <v>42372</v>
      </c>
      <c r="B322">
        <f t="shared" si="4"/>
        <v>2016</v>
      </c>
      <c r="C322" s="1" t="s">
        <v>6</v>
      </c>
      <c r="D322" s="3">
        <v>63</v>
      </c>
      <c r="E322" t="s">
        <v>54</v>
      </c>
    </row>
    <row r="323" spans="1:5" x14ac:dyDescent="0.35">
      <c r="A323" s="2">
        <v>42372</v>
      </c>
      <c r="B323">
        <f t="shared" si="4"/>
        <v>2016</v>
      </c>
      <c r="C323" s="1" t="s">
        <v>11</v>
      </c>
      <c r="D323" s="3">
        <v>31</v>
      </c>
      <c r="E323" t="s">
        <v>55</v>
      </c>
    </row>
    <row r="324" spans="1:5" x14ac:dyDescent="0.35">
      <c r="A324" s="2">
        <v>42372</v>
      </c>
      <c r="B324">
        <f t="shared" si="4"/>
        <v>2016</v>
      </c>
      <c r="C324" s="1" t="s">
        <v>8</v>
      </c>
      <c r="D324" s="3">
        <v>87.58</v>
      </c>
      <c r="E324" t="s">
        <v>8</v>
      </c>
    </row>
    <row r="325" spans="1:5" x14ac:dyDescent="0.35">
      <c r="A325" s="2">
        <v>42372</v>
      </c>
      <c r="B325">
        <f t="shared" ref="B325:B388" si="5">YEAR(A325)</f>
        <v>2016</v>
      </c>
      <c r="C325" s="1" t="s">
        <v>12</v>
      </c>
      <c r="D325" s="3">
        <v>4</v>
      </c>
      <c r="E325" t="s">
        <v>12</v>
      </c>
    </row>
    <row r="326" spans="1:5" x14ac:dyDescent="0.35">
      <c r="A326" s="2">
        <v>42372</v>
      </c>
      <c r="B326">
        <f t="shared" si="5"/>
        <v>2016</v>
      </c>
      <c r="C326" s="1" t="s">
        <v>49</v>
      </c>
      <c r="D326" s="3">
        <v>4</v>
      </c>
      <c r="E326" s="1" t="s">
        <v>49</v>
      </c>
    </row>
    <row r="327" spans="1:5" x14ac:dyDescent="0.35">
      <c r="A327" s="2">
        <v>42372</v>
      </c>
      <c r="B327">
        <f t="shared" si="5"/>
        <v>2016</v>
      </c>
      <c r="C327" s="1" t="s">
        <v>50</v>
      </c>
      <c r="D327" s="4">
        <v>16.490000000000002</v>
      </c>
      <c r="E327" s="1" t="s">
        <v>50</v>
      </c>
    </row>
    <row r="328" spans="1:5" x14ac:dyDescent="0.35">
      <c r="A328" s="2">
        <v>42373</v>
      </c>
      <c r="B328">
        <f t="shared" si="5"/>
        <v>2016</v>
      </c>
      <c r="C328" s="1" t="s">
        <v>2</v>
      </c>
      <c r="D328" s="3">
        <v>62</v>
      </c>
      <c r="E328" t="s">
        <v>54</v>
      </c>
    </row>
    <row r="329" spans="1:5" x14ac:dyDescent="0.35">
      <c r="A329" s="2">
        <v>42373</v>
      </c>
      <c r="B329">
        <f t="shared" si="5"/>
        <v>2016</v>
      </c>
      <c r="C329" s="1" t="s">
        <v>7</v>
      </c>
      <c r="D329" s="3">
        <v>48</v>
      </c>
      <c r="E329" t="s">
        <v>55</v>
      </c>
    </row>
    <row r="330" spans="1:5" x14ac:dyDescent="0.35">
      <c r="A330" s="2">
        <v>42373</v>
      </c>
      <c r="B330">
        <f t="shared" si="5"/>
        <v>2016</v>
      </c>
      <c r="C330" s="1" t="s">
        <v>4</v>
      </c>
      <c r="D330" s="3">
        <v>25</v>
      </c>
      <c r="E330" t="s">
        <v>54</v>
      </c>
    </row>
    <row r="331" spans="1:5" x14ac:dyDescent="0.35">
      <c r="A331" s="2">
        <v>42373</v>
      </c>
      <c r="B331">
        <f t="shared" si="5"/>
        <v>2016</v>
      </c>
      <c r="C331" s="1" t="s">
        <v>9</v>
      </c>
      <c r="D331" s="3">
        <v>20</v>
      </c>
      <c r="E331" t="s">
        <v>55</v>
      </c>
    </row>
    <row r="332" spans="1:5" x14ac:dyDescent="0.35">
      <c r="A332" s="2">
        <v>42373</v>
      </c>
      <c r="B332">
        <f t="shared" si="5"/>
        <v>2016</v>
      </c>
      <c r="C332" s="1" t="s">
        <v>3</v>
      </c>
      <c r="D332" s="3">
        <v>47</v>
      </c>
      <c r="E332" t="s">
        <v>54</v>
      </c>
    </row>
    <row r="333" spans="1:5" x14ac:dyDescent="0.35">
      <c r="A333" s="2">
        <v>42373</v>
      </c>
      <c r="B333">
        <f t="shared" si="5"/>
        <v>2016</v>
      </c>
      <c r="C333" s="1" t="s">
        <v>10</v>
      </c>
      <c r="D333" s="3">
        <v>11</v>
      </c>
      <c r="E333" t="s">
        <v>55</v>
      </c>
    </row>
    <row r="334" spans="1:5" x14ac:dyDescent="0.35">
      <c r="A334" s="2">
        <v>42373</v>
      </c>
      <c r="B334">
        <f t="shared" si="5"/>
        <v>2016</v>
      </c>
      <c r="C334" s="1" t="s">
        <v>6</v>
      </c>
      <c r="D334" s="3">
        <v>56</v>
      </c>
      <c r="E334" t="s">
        <v>54</v>
      </c>
    </row>
    <row r="335" spans="1:5" x14ac:dyDescent="0.35">
      <c r="A335" s="2">
        <v>42373</v>
      </c>
      <c r="B335">
        <f t="shared" si="5"/>
        <v>2016</v>
      </c>
      <c r="C335" s="1" t="s">
        <v>11</v>
      </c>
      <c r="D335" s="3">
        <v>30</v>
      </c>
      <c r="E335" t="s">
        <v>55</v>
      </c>
    </row>
    <row r="336" spans="1:5" x14ac:dyDescent="0.35">
      <c r="A336" s="2">
        <v>42373</v>
      </c>
      <c r="B336">
        <f t="shared" si="5"/>
        <v>2016</v>
      </c>
      <c r="C336" s="1" t="s">
        <v>8</v>
      </c>
      <c r="D336" s="3">
        <v>80.73</v>
      </c>
      <c r="E336" t="s">
        <v>8</v>
      </c>
    </row>
    <row r="337" spans="1:5" x14ac:dyDescent="0.35">
      <c r="A337" s="2">
        <v>42373</v>
      </c>
      <c r="B337">
        <f t="shared" si="5"/>
        <v>2016</v>
      </c>
      <c r="C337" s="1" t="s">
        <v>12</v>
      </c>
      <c r="D337" s="3">
        <v>3</v>
      </c>
      <c r="E337" t="s">
        <v>12</v>
      </c>
    </row>
    <row r="338" spans="1:5" x14ac:dyDescent="0.35">
      <c r="A338" s="2">
        <v>42373</v>
      </c>
      <c r="B338">
        <f t="shared" si="5"/>
        <v>2016</v>
      </c>
      <c r="C338" s="1" t="s">
        <v>49</v>
      </c>
      <c r="D338" s="3">
        <v>4</v>
      </c>
      <c r="E338" s="1" t="s">
        <v>49</v>
      </c>
    </row>
    <row r="339" spans="1:5" x14ac:dyDescent="0.35">
      <c r="A339" s="2">
        <v>42373</v>
      </c>
      <c r="B339">
        <f t="shared" si="5"/>
        <v>2016</v>
      </c>
      <c r="C339" s="1" t="s">
        <v>50</v>
      </c>
      <c r="D339" s="4">
        <v>16.54</v>
      </c>
      <c r="E339" s="1" t="s">
        <v>50</v>
      </c>
    </row>
    <row r="340" spans="1:5" x14ac:dyDescent="0.35">
      <c r="A340" s="2">
        <v>42374</v>
      </c>
      <c r="B340">
        <f t="shared" si="5"/>
        <v>2016</v>
      </c>
      <c r="C340" s="1" t="s">
        <v>2</v>
      </c>
      <c r="D340" s="3">
        <v>59</v>
      </c>
      <c r="E340" t="s">
        <v>54</v>
      </c>
    </row>
    <row r="341" spans="1:5" x14ac:dyDescent="0.35">
      <c r="A341" s="2">
        <v>42374</v>
      </c>
      <c r="B341">
        <f t="shared" si="5"/>
        <v>2016</v>
      </c>
      <c r="C341" s="1" t="s">
        <v>7</v>
      </c>
      <c r="D341" s="3">
        <v>58</v>
      </c>
      <c r="E341" t="s">
        <v>55</v>
      </c>
    </row>
    <row r="342" spans="1:5" x14ac:dyDescent="0.35">
      <c r="A342" s="2">
        <v>42374</v>
      </c>
      <c r="B342">
        <f t="shared" si="5"/>
        <v>2016</v>
      </c>
      <c r="C342" s="1" t="s">
        <v>4</v>
      </c>
      <c r="D342" s="3">
        <v>32</v>
      </c>
      <c r="E342" t="s">
        <v>54</v>
      </c>
    </row>
    <row r="343" spans="1:5" x14ac:dyDescent="0.35">
      <c r="A343" s="2">
        <v>42374</v>
      </c>
      <c r="B343">
        <f t="shared" si="5"/>
        <v>2016</v>
      </c>
      <c r="C343" s="1" t="s">
        <v>9</v>
      </c>
      <c r="D343" s="3">
        <v>13</v>
      </c>
      <c r="E343" t="s">
        <v>55</v>
      </c>
    </row>
    <row r="344" spans="1:5" x14ac:dyDescent="0.35">
      <c r="A344" s="2">
        <v>42374</v>
      </c>
      <c r="B344">
        <f t="shared" si="5"/>
        <v>2016</v>
      </c>
      <c r="C344" s="1" t="s">
        <v>3</v>
      </c>
      <c r="D344" s="3">
        <v>41</v>
      </c>
      <c r="E344" t="s">
        <v>54</v>
      </c>
    </row>
    <row r="345" spans="1:5" x14ac:dyDescent="0.35">
      <c r="A345" s="2">
        <v>42374</v>
      </c>
      <c r="B345">
        <f t="shared" si="5"/>
        <v>2016</v>
      </c>
      <c r="C345" s="1" t="s">
        <v>10</v>
      </c>
      <c r="D345" s="3">
        <v>13</v>
      </c>
      <c r="E345" t="s">
        <v>55</v>
      </c>
    </row>
    <row r="346" spans="1:5" x14ac:dyDescent="0.35">
      <c r="A346" s="2">
        <v>42374</v>
      </c>
      <c r="B346">
        <f t="shared" si="5"/>
        <v>2016</v>
      </c>
      <c r="C346" s="1" t="s">
        <v>6</v>
      </c>
      <c r="D346" s="3">
        <v>54</v>
      </c>
      <c r="E346" t="s">
        <v>54</v>
      </c>
    </row>
    <row r="347" spans="1:5" x14ac:dyDescent="0.35">
      <c r="A347" s="2">
        <v>42374</v>
      </c>
      <c r="B347">
        <f t="shared" si="5"/>
        <v>2016</v>
      </c>
      <c r="C347" s="1" t="s">
        <v>11</v>
      </c>
      <c r="D347" s="3">
        <v>35</v>
      </c>
      <c r="E347" t="s">
        <v>55</v>
      </c>
    </row>
    <row r="348" spans="1:5" x14ac:dyDescent="0.35">
      <c r="A348" s="2">
        <v>42374</v>
      </c>
      <c r="B348">
        <f t="shared" si="5"/>
        <v>2016</v>
      </c>
      <c r="C348" s="1" t="s">
        <v>8</v>
      </c>
      <c r="D348" s="3">
        <v>88.449999999999989</v>
      </c>
      <c r="E348" t="s">
        <v>8</v>
      </c>
    </row>
    <row r="349" spans="1:5" x14ac:dyDescent="0.35">
      <c r="A349" s="2">
        <v>42374</v>
      </c>
      <c r="B349">
        <f t="shared" si="5"/>
        <v>2016</v>
      </c>
      <c r="C349" s="1" t="s">
        <v>12</v>
      </c>
      <c r="D349" s="3">
        <v>4</v>
      </c>
      <c r="E349" t="s">
        <v>12</v>
      </c>
    </row>
    <row r="350" spans="1:5" x14ac:dyDescent="0.35">
      <c r="A350" s="2">
        <v>42374</v>
      </c>
      <c r="B350">
        <f t="shared" si="5"/>
        <v>2016</v>
      </c>
      <c r="C350" s="1" t="s">
        <v>49</v>
      </c>
      <c r="D350" s="3">
        <v>5</v>
      </c>
      <c r="E350" s="1" t="s">
        <v>49</v>
      </c>
    </row>
    <row r="351" spans="1:5" x14ac:dyDescent="0.35">
      <c r="A351" s="2">
        <v>42374</v>
      </c>
      <c r="B351">
        <f t="shared" si="5"/>
        <v>2016</v>
      </c>
      <c r="C351" s="1" t="s">
        <v>50</v>
      </c>
      <c r="D351" s="4">
        <v>16.05</v>
      </c>
      <c r="E351" s="1" t="s">
        <v>50</v>
      </c>
    </row>
    <row r="352" spans="1:5" x14ac:dyDescent="0.35">
      <c r="A352" s="2">
        <v>42375</v>
      </c>
      <c r="B352">
        <f t="shared" si="5"/>
        <v>2016</v>
      </c>
      <c r="C352" s="1" t="s">
        <v>2</v>
      </c>
      <c r="D352" s="3">
        <v>67</v>
      </c>
      <c r="E352" t="s">
        <v>54</v>
      </c>
    </row>
    <row r="353" spans="1:5" x14ac:dyDescent="0.35">
      <c r="A353" s="2">
        <v>42375</v>
      </c>
      <c r="B353">
        <f t="shared" si="5"/>
        <v>2016</v>
      </c>
      <c r="C353" s="1" t="s">
        <v>7</v>
      </c>
      <c r="D353" s="3">
        <v>56</v>
      </c>
      <c r="E353" t="s">
        <v>55</v>
      </c>
    </row>
    <row r="354" spans="1:5" x14ac:dyDescent="0.35">
      <c r="A354" s="2">
        <v>42375</v>
      </c>
      <c r="B354">
        <f t="shared" si="5"/>
        <v>2016</v>
      </c>
      <c r="C354" s="1" t="s">
        <v>4</v>
      </c>
      <c r="D354" s="3">
        <v>31</v>
      </c>
      <c r="E354" t="s">
        <v>54</v>
      </c>
    </row>
    <row r="355" spans="1:5" x14ac:dyDescent="0.35">
      <c r="A355" s="2">
        <v>42375</v>
      </c>
      <c r="B355">
        <f t="shared" si="5"/>
        <v>2016</v>
      </c>
      <c r="C355" s="1" t="s">
        <v>9</v>
      </c>
      <c r="D355" s="3">
        <v>18</v>
      </c>
      <c r="E355" t="s">
        <v>55</v>
      </c>
    </row>
    <row r="356" spans="1:5" x14ac:dyDescent="0.35">
      <c r="A356" s="2">
        <v>42375</v>
      </c>
      <c r="B356">
        <f t="shared" si="5"/>
        <v>2016</v>
      </c>
      <c r="C356" s="1" t="s">
        <v>3</v>
      </c>
      <c r="D356" s="3">
        <v>47</v>
      </c>
      <c r="E356" t="s">
        <v>54</v>
      </c>
    </row>
    <row r="357" spans="1:5" x14ac:dyDescent="0.35">
      <c r="A357" s="2">
        <v>42375</v>
      </c>
      <c r="B357">
        <f t="shared" si="5"/>
        <v>2016</v>
      </c>
      <c r="C357" s="1" t="s">
        <v>10</v>
      </c>
      <c r="D357" s="3">
        <v>17</v>
      </c>
      <c r="E357" t="s">
        <v>55</v>
      </c>
    </row>
    <row r="358" spans="1:5" x14ac:dyDescent="0.35">
      <c r="A358" s="2">
        <v>42375</v>
      </c>
      <c r="B358">
        <f t="shared" si="5"/>
        <v>2016</v>
      </c>
      <c r="C358" s="1" t="s">
        <v>6</v>
      </c>
      <c r="D358" s="3">
        <v>66</v>
      </c>
      <c r="E358" t="s">
        <v>54</v>
      </c>
    </row>
    <row r="359" spans="1:5" x14ac:dyDescent="0.35">
      <c r="A359" s="2">
        <v>42375</v>
      </c>
      <c r="B359">
        <f t="shared" si="5"/>
        <v>2016</v>
      </c>
      <c r="C359" s="1" t="s">
        <v>11</v>
      </c>
      <c r="D359" s="3">
        <v>30</v>
      </c>
      <c r="E359" t="s">
        <v>55</v>
      </c>
    </row>
    <row r="360" spans="1:5" x14ac:dyDescent="0.35">
      <c r="A360" s="2">
        <v>42375</v>
      </c>
      <c r="B360">
        <f t="shared" si="5"/>
        <v>2016</v>
      </c>
      <c r="C360" s="1" t="s">
        <v>8</v>
      </c>
      <c r="D360" s="3">
        <v>102.92</v>
      </c>
      <c r="E360" t="s">
        <v>8</v>
      </c>
    </row>
    <row r="361" spans="1:5" x14ac:dyDescent="0.35">
      <c r="A361" s="2">
        <v>42375</v>
      </c>
      <c r="B361">
        <f t="shared" si="5"/>
        <v>2016</v>
      </c>
      <c r="C361" s="1" t="s">
        <v>12</v>
      </c>
      <c r="D361" s="3">
        <v>3</v>
      </c>
      <c r="E361" t="s">
        <v>12</v>
      </c>
    </row>
    <row r="362" spans="1:5" x14ac:dyDescent="0.35">
      <c r="A362" s="2">
        <v>42375</v>
      </c>
      <c r="B362">
        <f t="shared" si="5"/>
        <v>2016</v>
      </c>
      <c r="C362" s="1" t="s">
        <v>49</v>
      </c>
      <c r="D362" s="3">
        <v>4</v>
      </c>
      <c r="E362" s="1" t="s">
        <v>49</v>
      </c>
    </row>
    <row r="363" spans="1:5" x14ac:dyDescent="0.35">
      <c r="A363" s="2">
        <v>42375</v>
      </c>
      <c r="B363">
        <f t="shared" si="5"/>
        <v>2016</v>
      </c>
      <c r="C363" s="1" t="s">
        <v>50</v>
      </c>
      <c r="D363" s="4">
        <v>18.360000000000003</v>
      </c>
      <c r="E363" s="1" t="s">
        <v>50</v>
      </c>
    </row>
    <row r="364" spans="1:5" x14ac:dyDescent="0.35">
      <c r="A364" s="2">
        <v>42376</v>
      </c>
      <c r="B364">
        <f t="shared" si="5"/>
        <v>2016</v>
      </c>
      <c r="C364" s="1" t="s">
        <v>2</v>
      </c>
      <c r="D364" s="3">
        <v>70</v>
      </c>
      <c r="E364" t="s">
        <v>54</v>
      </c>
    </row>
    <row r="365" spans="1:5" x14ac:dyDescent="0.35">
      <c r="A365" s="2">
        <v>42376</v>
      </c>
      <c r="B365">
        <f t="shared" si="5"/>
        <v>2016</v>
      </c>
      <c r="C365" s="1" t="s">
        <v>7</v>
      </c>
      <c r="D365" s="3">
        <v>52</v>
      </c>
      <c r="E365" t="s">
        <v>55</v>
      </c>
    </row>
    <row r="366" spans="1:5" x14ac:dyDescent="0.35">
      <c r="A366" s="2">
        <v>42376</v>
      </c>
      <c r="B366">
        <f t="shared" si="5"/>
        <v>2016</v>
      </c>
      <c r="C366" s="1" t="s">
        <v>4</v>
      </c>
      <c r="D366" s="3">
        <v>37</v>
      </c>
      <c r="E366" t="s">
        <v>54</v>
      </c>
    </row>
    <row r="367" spans="1:5" x14ac:dyDescent="0.35">
      <c r="A367" s="2">
        <v>42376</v>
      </c>
      <c r="B367">
        <f t="shared" si="5"/>
        <v>2016</v>
      </c>
      <c r="C367" s="1" t="s">
        <v>9</v>
      </c>
      <c r="D367" s="3">
        <v>10</v>
      </c>
      <c r="E367" t="s">
        <v>55</v>
      </c>
    </row>
    <row r="368" spans="1:5" x14ac:dyDescent="0.35">
      <c r="A368" s="2">
        <v>42376</v>
      </c>
      <c r="B368">
        <f t="shared" si="5"/>
        <v>2016</v>
      </c>
      <c r="C368" s="1" t="s">
        <v>3</v>
      </c>
      <c r="D368" s="3">
        <v>35</v>
      </c>
      <c r="E368" t="s">
        <v>54</v>
      </c>
    </row>
    <row r="369" spans="1:5" x14ac:dyDescent="0.35">
      <c r="A369" s="2">
        <v>42376</v>
      </c>
      <c r="B369">
        <f t="shared" si="5"/>
        <v>2016</v>
      </c>
      <c r="C369" s="1" t="s">
        <v>10</v>
      </c>
      <c r="D369" s="3">
        <v>18</v>
      </c>
      <c r="E369" t="s">
        <v>55</v>
      </c>
    </row>
    <row r="370" spans="1:5" x14ac:dyDescent="0.35">
      <c r="A370" s="2">
        <v>42376</v>
      </c>
      <c r="B370">
        <f t="shared" si="5"/>
        <v>2016</v>
      </c>
      <c r="C370" s="1" t="s">
        <v>6</v>
      </c>
      <c r="D370" s="3">
        <v>59</v>
      </c>
      <c r="E370" t="s">
        <v>54</v>
      </c>
    </row>
    <row r="371" spans="1:5" x14ac:dyDescent="0.35">
      <c r="A371" s="2">
        <v>42376</v>
      </c>
      <c r="B371">
        <f t="shared" si="5"/>
        <v>2016</v>
      </c>
      <c r="C371" s="1" t="s">
        <v>11</v>
      </c>
      <c r="D371" s="3">
        <v>35</v>
      </c>
      <c r="E371" t="s">
        <v>55</v>
      </c>
    </row>
    <row r="372" spans="1:5" x14ac:dyDescent="0.35">
      <c r="A372" s="2">
        <v>42376</v>
      </c>
      <c r="B372">
        <f t="shared" si="5"/>
        <v>2016</v>
      </c>
      <c r="C372" s="1" t="s">
        <v>8</v>
      </c>
      <c r="D372" s="3">
        <v>104.28</v>
      </c>
      <c r="E372" t="s">
        <v>8</v>
      </c>
    </row>
    <row r="373" spans="1:5" x14ac:dyDescent="0.35">
      <c r="A373" s="2">
        <v>42376</v>
      </c>
      <c r="B373">
        <f t="shared" si="5"/>
        <v>2016</v>
      </c>
      <c r="C373" s="1" t="s">
        <v>12</v>
      </c>
      <c r="D373" s="3">
        <v>3</v>
      </c>
      <c r="E373" t="s">
        <v>12</v>
      </c>
    </row>
    <row r="374" spans="1:5" x14ac:dyDescent="0.35">
      <c r="A374" s="2">
        <v>42376</v>
      </c>
      <c r="B374">
        <f t="shared" si="5"/>
        <v>2016</v>
      </c>
      <c r="C374" s="1" t="s">
        <v>49</v>
      </c>
      <c r="D374" s="3">
        <v>5</v>
      </c>
      <c r="E374" s="1" t="s">
        <v>49</v>
      </c>
    </row>
    <row r="375" spans="1:5" x14ac:dyDescent="0.35">
      <c r="A375" s="2">
        <v>42376</v>
      </c>
      <c r="B375">
        <f t="shared" si="5"/>
        <v>2016</v>
      </c>
      <c r="C375" s="1" t="s">
        <v>50</v>
      </c>
      <c r="D375" s="4">
        <v>17.240000000000002</v>
      </c>
      <c r="E375" s="1" t="s">
        <v>50</v>
      </c>
    </row>
    <row r="376" spans="1:5" x14ac:dyDescent="0.35">
      <c r="A376" s="2">
        <v>42377</v>
      </c>
      <c r="B376">
        <f t="shared" si="5"/>
        <v>2016</v>
      </c>
      <c r="C376" s="1" t="s">
        <v>2</v>
      </c>
      <c r="D376" s="3">
        <v>75</v>
      </c>
      <c r="E376" t="s">
        <v>54</v>
      </c>
    </row>
    <row r="377" spans="1:5" x14ac:dyDescent="0.35">
      <c r="A377" s="2">
        <v>42377</v>
      </c>
      <c r="B377">
        <f t="shared" si="5"/>
        <v>2016</v>
      </c>
      <c r="C377" s="1" t="s">
        <v>7</v>
      </c>
      <c r="D377" s="3">
        <v>47</v>
      </c>
      <c r="E377" t="s">
        <v>55</v>
      </c>
    </row>
    <row r="378" spans="1:5" x14ac:dyDescent="0.35">
      <c r="A378" s="2">
        <v>42377</v>
      </c>
      <c r="B378">
        <f t="shared" si="5"/>
        <v>2016</v>
      </c>
      <c r="C378" s="1" t="s">
        <v>4</v>
      </c>
      <c r="D378" s="3">
        <v>27</v>
      </c>
      <c r="E378" t="s">
        <v>54</v>
      </c>
    </row>
    <row r="379" spans="1:5" x14ac:dyDescent="0.35">
      <c r="A379" s="2">
        <v>42377</v>
      </c>
      <c r="B379">
        <f t="shared" si="5"/>
        <v>2016</v>
      </c>
      <c r="C379" s="1" t="s">
        <v>9</v>
      </c>
      <c r="D379" s="3">
        <v>19</v>
      </c>
      <c r="E379" t="s">
        <v>55</v>
      </c>
    </row>
    <row r="380" spans="1:5" x14ac:dyDescent="0.35">
      <c r="A380" s="2">
        <v>42377</v>
      </c>
      <c r="B380">
        <f t="shared" si="5"/>
        <v>2016</v>
      </c>
      <c r="C380" s="1" t="s">
        <v>3</v>
      </c>
      <c r="D380" s="3">
        <v>45</v>
      </c>
      <c r="E380" t="s">
        <v>54</v>
      </c>
    </row>
    <row r="381" spans="1:5" x14ac:dyDescent="0.35">
      <c r="A381" s="2">
        <v>42377</v>
      </c>
      <c r="B381">
        <f t="shared" si="5"/>
        <v>2016</v>
      </c>
      <c r="C381" s="1" t="s">
        <v>10</v>
      </c>
      <c r="D381" s="3">
        <v>11</v>
      </c>
      <c r="E381" t="s">
        <v>55</v>
      </c>
    </row>
    <row r="382" spans="1:5" x14ac:dyDescent="0.35">
      <c r="A382" s="2">
        <v>42377</v>
      </c>
      <c r="B382">
        <f t="shared" si="5"/>
        <v>2016</v>
      </c>
      <c r="C382" s="1" t="s">
        <v>6</v>
      </c>
      <c r="D382" s="3">
        <v>59</v>
      </c>
      <c r="E382" t="s">
        <v>54</v>
      </c>
    </row>
    <row r="383" spans="1:5" x14ac:dyDescent="0.35">
      <c r="A383" s="2">
        <v>42377</v>
      </c>
      <c r="B383">
        <f t="shared" si="5"/>
        <v>2016</v>
      </c>
      <c r="C383" s="1" t="s">
        <v>11</v>
      </c>
      <c r="D383" s="3">
        <v>30</v>
      </c>
      <c r="E383" t="s">
        <v>55</v>
      </c>
    </row>
    <row r="384" spans="1:5" x14ac:dyDescent="0.35">
      <c r="A384" s="2">
        <v>42377</v>
      </c>
      <c r="B384">
        <f t="shared" si="5"/>
        <v>2016</v>
      </c>
      <c r="C384" s="1" t="s">
        <v>8</v>
      </c>
      <c r="D384" s="3">
        <v>78.25</v>
      </c>
      <c r="E384" t="s">
        <v>8</v>
      </c>
    </row>
    <row r="385" spans="1:5" x14ac:dyDescent="0.35">
      <c r="A385" s="2">
        <v>42377</v>
      </c>
      <c r="B385">
        <f t="shared" si="5"/>
        <v>2016</v>
      </c>
      <c r="C385" s="1" t="s">
        <v>12</v>
      </c>
      <c r="D385" s="3">
        <v>4</v>
      </c>
      <c r="E385" t="s">
        <v>12</v>
      </c>
    </row>
    <row r="386" spans="1:5" x14ac:dyDescent="0.35">
      <c r="A386" s="2">
        <v>42377</v>
      </c>
      <c r="B386">
        <f t="shared" si="5"/>
        <v>2016</v>
      </c>
      <c r="C386" s="1" t="s">
        <v>49</v>
      </c>
      <c r="D386" s="3">
        <v>5</v>
      </c>
      <c r="E386" s="1" t="s">
        <v>49</v>
      </c>
    </row>
    <row r="387" spans="1:5" x14ac:dyDescent="0.35">
      <c r="A387" s="2">
        <v>42377</v>
      </c>
      <c r="B387">
        <f t="shared" si="5"/>
        <v>2016</v>
      </c>
      <c r="C387" s="1" t="s">
        <v>50</v>
      </c>
      <c r="D387" s="4">
        <v>17.840000000000003</v>
      </c>
      <c r="E387" s="1" t="s">
        <v>50</v>
      </c>
    </row>
    <row r="388" spans="1:5" x14ac:dyDescent="0.35">
      <c r="A388" s="2">
        <v>42378</v>
      </c>
      <c r="B388">
        <f t="shared" si="5"/>
        <v>2016</v>
      </c>
      <c r="C388" s="1" t="s">
        <v>2</v>
      </c>
      <c r="D388" s="3">
        <v>65</v>
      </c>
      <c r="E388" t="s">
        <v>54</v>
      </c>
    </row>
    <row r="389" spans="1:5" x14ac:dyDescent="0.35">
      <c r="A389" s="2">
        <v>42378</v>
      </c>
      <c r="B389">
        <f t="shared" ref="B389:B434" si="6">YEAR(A389)</f>
        <v>2016</v>
      </c>
      <c r="C389" s="1" t="s">
        <v>7</v>
      </c>
      <c r="D389" s="3">
        <v>47</v>
      </c>
      <c r="E389" t="s">
        <v>55</v>
      </c>
    </row>
    <row r="390" spans="1:5" x14ac:dyDescent="0.35">
      <c r="A390" s="2">
        <v>42378</v>
      </c>
      <c r="B390">
        <f t="shared" si="6"/>
        <v>2016</v>
      </c>
      <c r="C390" s="1" t="s">
        <v>4</v>
      </c>
      <c r="D390" s="3">
        <v>38</v>
      </c>
      <c r="E390" t="s">
        <v>54</v>
      </c>
    </row>
    <row r="391" spans="1:5" x14ac:dyDescent="0.35">
      <c r="A391" s="2">
        <v>42378</v>
      </c>
      <c r="B391">
        <f t="shared" si="6"/>
        <v>2016</v>
      </c>
      <c r="C391" s="1" t="s">
        <v>9</v>
      </c>
      <c r="D391" s="3">
        <v>13</v>
      </c>
      <c r="E391" t="s">
        <v>55</v>
      </c>
    </row>
    <row r="392" spans="1:5" x14ac:dyDescent="0.35">
      <c r="A392" s="2">
        <v>42378</v>
      </c>
      <c r="B392">
        <f t="shared" si="6"/>
        <v>2016</v>
      </c>
      <c r="C392" s="1" t="s">
        <v>3</v>
      </c>
      <c r="D392" s="3">
        <v>39</v>
      </c>
      <c r="E392" t="s">
        <v>54</v>
      </c>
    </row>
    <row r="393" spans="1:5" x14ac:dyDescent="0.35">
      <c r="A393" s="2">
        <v>42378</v>
      </c>
      <c r="B393">
        <f t="shared" si="6"/>
        <v>2016</v>
      </c>
      <c r="C393" s="1" t="s">
        <v>10</v>
      </c>
      <c r="D393" s="3">
        <v>11</v>
      </c>
      <c r="E393" t="s">
        <v>55</v>
      </c>
    </row>
    <row r="394" spans="1:5" x14ac:dyDescent="0.35">
      <c r="A394" s="2">
        <v>42378</v>
      </c>
      <c r="B394">
        <f t="shared" si="6"/>
        <v>2016</v>
      </c>
      <c r="C394" s="1" t="s">
        <v>6</v>
      </c>
      <c r="D394" s="3">
        <v>58</v>
      </c>
      <c r="E394" t="s">
        <v>54</v>
      </c>
    </row>
    <row r="395" spans="1:5" x14ac:dyDescent="0.35">
      <c r="A395" s="2">
        <v>42378</v>
      </c>
      <c r="B395">
        <f t="shared" si="6"/>
        <v>2016</v>
      </c>
      <c r="C395" s="1" t="s">
        <v>11</v>
      </c>
      <c r="D395" s="3">
        <v>32</v>
      </c>
      <c r="E395" t="s">
        <v>55</v>
      </c>
    </row>
    <row r="396" spans="1:5" x14ac:dyDescent="0.35">
      <c r="A396" s="2">
        <v>42378</v>
      </c>
      <c r="B396">
        <f t="shared" si="6"/>
        <v>2016</v>
      </c>
      <c r="C396" s="1" t="s">
        <v>8</v>
      </c>
      <c r="D396" s="3">
        <v>78.78</v>
      </c>
      <c r="E396" t="s">
        <v>8</v>
      </c>
    </row>
    <row r="397" spans="1:5" x14ac:dyDescent="0.35">
      <c r="A397" s="2">
        <v>42378</v>
      </c>
      <c r="B397">
        <f t="shared" si="6"/>
        <v>2016</v>
      </c>
      <c r="C397" s="1" t="s">
        <v>12</v>
      </c>
      <c r="D397" s="3">
        <v>3</v>
      </c>
      <c r="E397" t="s">
        <v>12</v>
      </c>
    </row>
    <row r="398" spans="1:5" x14ac:dyDescent="0.35">
      <c r="A398" s="2">
        <v>42378</v>
      </c>
      <c r="B398">
        <f t="shared" si="6"/>
        <v>2016</v>
      </c>
      <c r="C398" s="1" t="s">
        <v>49</v>
      </c>
      <c r="D398" s="3">
        <v>4</v>
      </c>
      <c r="E398" s="1" t="s">
        <v>49</v>
      </c>
    </row>
    <row r="399" spans="1:5" x14ac:dyDescent="0.35">
      <c r="A399" s="2">
        <v>42378</v>
      </c>
      <c r="B399">
        <f t="shared" si="6"/>
        <v>2016</v>
      </c>
      <c r="C399" s="1" t="s">
        <v>50</v>
      </c>
      <c r="D399" s="4">
        <v>17.170000000000002</v>
      </c>
      <c r="E399" s="1" t="s">
        <v>50</v>
      </c>
    </row>
    <row r="400" spans="1:5" x14ac:dyDescent="0.35">
      <c r="A400" s="2">
        <v>42379</v>
      </c>
      <c r="B400">
        <f t="shared" si="6"/>
        <v>2016</v>
      </c>
      <c r="C400" s="1" t="s">
        <v>2</v>
      </c>
      <c r="D400" s="3">
        <v>72</v>
      </c>
      <c r="E400" t="s">
        <v>54</v>
      </c>
    </row>
    <row r="401" spans="1:5" x14ac:dyDescent="0.35">
      <c r="A401" s="2">
        <v>42379</v>
      </c>
      <c r="B401">
        <f t="shared" si="6"/>
        <v>2016</v>
      </c>
      <c r="C401" s="1" t="s">
        <v>7</v>
      </c>
      <c r="D401" s="3">
        <v>51</v>
      </c>
      <c r="E401" t="s">
        <v>55</v>
      </c>
    </row>
    <row r="402" spans="1:5" x14ac:dyDescent="0.35">
      <c r="A402" s="2">
        <v>42379</v>
      </c>
      <c r="B402">
        <f t="shared" si="6"/>
        <v>2016</v>
      </c>
      <c r="C402" s="1" t="s">
        <v>4</v>
      </c>
      <c r="D402" s="3">
        <v>34</v>
      </c>
      <c r="E402" t="s">
        <v>54</v>
      </c>
    </row>
    <row r="403" spans="1:5" x14ac:dyDescent="0.35">
      <c r="A403" s="2">
        <v>42379</v>
      </c>
      <c r="B403">
        <f t="shared" si="6"/>
        <v>2016</v>
      </c>
      <c r="C403" s="1" t="s">
        <v>9</v>
      </c>
      <c r="D403" s="3">
        <v>16</v>
      </c>
      <c r="E403" t="s">
        <v>55</v>
      </c>
    </row>
    <row r="404" spans="1:5" x14ac:dyDescent="0.35">
      <c r="A404" s="2">
        <v>42379</v>
      </c>
      <c r="B404">
        <f t="shared" si="6"/>
        <v>2016</v>
      </c>
      <c r="C404" s="1" t="s">
        <v>3</v>
      </c>
      <c r="D404" s="3">
        <v>39</v>
      </c>
      <c r="E404" t="s">
        <v>54</v>
      </c>
    </row>
    <row r="405" spans="1:5" x14ac:dyDescent="0.35">
      <c r="A405" s="2">
        <v>42379</v>
      </c>
      <c r="B405">
        <f t="shared" si="6"/>
        <v>2016</v>
      </c>
      <c r="C405" s="1" t="s">
        <v>10</v>
      </c>
      <c r="D405" s="3">
        <v>10</v>
      </c>
      <c r="E405" t="s">
        <v>55</v>
      </c>
    </row>
    <row r="406" spans="1:5" x14ac:dyDescent="0.35">
      <c r="A406" s="2">
        <v>42379</v>
      </c>
      <c r="B406">
        <f t="shared" si="6"/>
        <v>2016</v>
      </c>
      <c r="C406" s="1" t="s">
        <v>6</v>
      </c>
      <c r="D406" s="3">
        <v>64</v>
      </c>
      <c r="E406" t="s">
        <v>54</v>
      </c>
    </row>
    <row r="407" spans="1:5" x14ac:dyDescent="0.35">
      <c r="A407" s="2">
        <v>42379</v>
      </c>
      <c r="B407">
        <f t="shared" si="6"/>
        <v>2016</v>
      </c>
      <c r="C407" s="1" t="s">
        <v>11</v>
      </c>
      <c r="D407" s="3">
        <v>35</v>
      </c>
      <c r="E407" t="s">
        <v>55</v>
      </c>
    </row>
    <row r="408" spans="1:5" x14ac:dyDescent="0.35">
      <c r="A408" s="2">
        <v>42379</v>
      </c>
      <c r="B408">
        <f t="shared" si="6"/>
        <v>2016</v>
      </c>
      <c r="C408" s="1" t="s">
        <v>8</v>
      </c>
      <c r="D408" s="3">
        <v>83.460000000000008</v>
      </c>
      <c r="E408" t="s">
        <v>8</v>
      </c>
    </row>
    <row r="409" spans="1:5" x14ac:dyDescent="0.35">
      <c r="A409" s="2">
        <v>42379</v>
      </c>
      <c r="B409">
        <f t="shared" si="6"/>
        <v>2016</v>
      </c>
      <c r="C409" s="1" t="s">
        <v>12</v>
      </c>
      <c r="D409" s="3">
        <v>3</v>
      </c>
      <c r="E409" t="s">
        <v>12</v>
      </c>
    </row>
    <row r="410" spans="1:5" x14ac:dyDescent="0.35">
      <c r="A410" s="2">
        <v>42379</v>
      </c>
      <c r="B410">
        <f t="shared" si="6"/>
        <v>2016</v>
      </c>
      <c r="C410" s="1" t="s">
        <v>49</v>
      </c>
      <c r="D410" s="3">
        <v>5</v>
      </c>
      <c r="E410" s="1" t="s">
        <v>49</v>
      </c>
    </row>
    <row r="411" spans="1:5" x14ac:dyDescent="0.35">
      <c r="A411" s="2">
        <v>42379</v>
      </c>
      <c r="B411">
        <f t="shared" si="6"/>
        <v>2016</v>
      </c>
      <c r="C411" s="1" t="s">
        <v>50</v>
      </c>
      <c r="D411" s="4">
        <v>18.05</v>
      </c>
      <c r="E411" s="1" t="s">
        <v>50</v>
      </c>
    </row>
    <row r="412" spans="1:5" x14ac:dyDescent="0.35">
      <c r="A412" s="2">
        <v>42380</v>
      </c>
      <c r="B412">
        <f t="shared" si="6"/>
        <v>2016</v>
      </c>
      <c r="C412" s="1" t="s">
        <v>2</v>
      </c>
      <c r="D412" s="3">
        <v>64</v>
      </c>
      <c r="E412" t="s">
        <v>54</v>
      </c>
    </row>
    <row r="413" spans="1:5" x14ac:dyDescent="0.35">
      <c r="A413" s="2">
        <v>42380</v>
      </c>
      <c r="B413">
        <f t="shared" si="6"/>
        <v>2016</v>
      </c>
      <c r="C413" s="1" t="s">
        <v>7</v>
      </c>
      <c r="D413" s="3">
        <v>52</v>
      </c>
      <c r="E413" t="s">
        <v>55</v>
      </c>
    </row>
    <row r="414" spans="1:5" x14ac:dyDescent="0.35">
      <c r="A414" s="2">
        <v>42380</v>
      </c>
      <c r="B414">
        <f t="shared" si="6"/>
        <v>2016</v>
      </c>
      <c r="C414" s="1" t="s">
        <v>4</v>
      </c>
      <c r="D414" s="3">
        <v>37</v>
      </c>
      <c r="E414" t="s">
        <v>54</v>
      </c>
    </row>
    <row r="415" spans="1:5" x14ac:dyDescent="0.35">
      <c r="A415" s="2">
        <v>42380</v>
      </c>
      <c r="B415">
        <f t="shared" si="6"/>
        <v>2016</v>
      </c>
      <c r="C415" s="1" t="s">
        <v>9</v>
      </c>
      <c r="D415" s="3">
        <v>15</v>
      </c>
      <c r="E415" t="s">
        <v>55</v>
      </c>
    </row>
    <row r="416" spans="1:5" x14ac:dyDescent="0.35">
      <c r="A416" s="2">
        <v>42380</v>
      </c>
      <c r="B416">
        <f t="shared" si="6"/>
        <v>2016</v>
      </c>
      <c r="C416" s="1" t="s">
        <v>3</v>
      </c>
      <c r="D416" s="3">
        <v>50</v>
      </c>
      <c r="E416" t="s">
        <v>54</v>
      </c>
    </row>
    <row r="417" spans="1:5" x14ac:dyDescent="0.35">
      <c r="A417" s="2">
        <v>42380</v>
      </c>
      <c r="B417">
        <f t="shared" si="6"/>
        <v>2016</v>
      </c>
      <c r="C417" s="1" t="s">
        <v>10</v>
      </c>
      <c r="D417" s="3">
        <v>14</v>
      </c>
      <c r="E417" t="s">
        <v>55</v>
      </c>
    </row>
    <row r="418" spans="1:5" x14ac:dyDescent="0.35">
      <c r="A418" s="2">
        <v>42380</v>
      </c>
      <c r="B418">
        <f t="shared" si="6"/>
        <v>2016</v>
      </c>
      <c r="C418" s="1" t="s">
        <v>6</v>
      </c>
      <c r="D418" s="3">
        <v>58</v>
      </c>
      <c r="E418" t="s">
        <v>54</v>
      </c>
    </row>
    <row r="419" spans="1:5" x14ac:dyDescent="0.35">
      <c r="A419" s="2">
        <v>42380</v>
      </c>
      <c r="B419">
        <f t="shared" si="6"/>
        <v>2016</v>
      </c>
      <c r="C419" s="1" t="s">
        <v>11</v>
      </c>
      <c r="D419" s="3">
        <v>33</v>
      </c>
      <c r="E419" t="s">
        <v>55</v>
      </c>
    </row>
    <row r="420" spans="1:5" x14ac:dyDescent="0.35">
      <c r="A420" s="2">
        <v>42380</v>
      </c>
      <c r="B420">
        <f t="shared" si="6"/>
        <v>2016</v>
      </c>
      <c r="C420" s="1" t="s">
        <v>8</v>
      </c>
      <c r="D420" s="3">
        <v>87.210000000000008</v>
      </c>
      <c r="E420" t="s">
        <v>8</v>
      </c>
    </row>
    <row r="421" spans="1:5" x14ac:dyDescent="0.35">
      <c r="A421" s="2">
        <v>42380</v>
      </c>
      <c r="B421">
        <f t="shared" si="6"/>
        <v>2016</v>
      </c>
      <c r="C421" s="1" t="s">
        <v>12</v>
      </c>
      <c r="D421" s="3">
        <v>3</v>
      </c>
      <c r="E421" t="s">
        <v>12</v>
      </c>
    </row>
    <row r="422" spans="1:5" x14ac:dyDescent="0.35">
      <c r="A422" s="2">
        <v>42380</v>
      </c>
      <c r="B422">
        <f t="shared" si="6"/>
        <v>2016</v>
      </c>
      <c r="C422" s="1" t="s">
        <v>49</v>
      </c>
      <c r="D422" s="3">
        <v>5</v>
      </c>
      <c r="E422" s="1" t="s">
        <v>49</v>
      </c>
    </row>
    <row r="423" spans="1:5" x14ac:dyDescent="0.35">
      <c r="A423" s="2">
        <v>42380</v>
      </c>
      <c r="B423">
        <f t="shared" si="6"/>
        <v>2016</v>
      </c>
      <c r="C423" s="1" t="s">
        <v>50</v>
      </c>
      <c r="D423" s="4">
        <v>18.010000000000002</v>
      </c>
      <c r="E423" s="1" t="s">
        <v>50</v>
      </c>
    </row>
    <row r="424" spans="1:5" x14ac:dyDescent="0.35">
      <c r="A424" s="2">
        <v>42381</v>
      </c>
      <c r="B424">
        <f t="shared" si="6"/>
        <v>2016</v>
      </c>
      <c r="C424" s="1" t="s">
        <v>2</v>
      </c>
      <c r="D424" s="3">
        <v>66</v>
      </c>
      <c r="E424" t="s">
        <v>54</v>
      </c>
    </row>
    <row r="425" spans="1:5" x14ac:dyDescent="0.35">
      <c r="A425" s="2">
        <v>42381</v>
      </c>
      <c r="B425">
        <f t="shared" si="6"/>
        <v>2016</v>
      </c>
      <c r="C425" s="1" t="s">
        <v>7</v>
      </c>
      <c r="D425" s="3">
        <v>56</v>
      </c>
      <c r="E425" t="s">
        <v>55</v>
      </c>
    </row>
    <row r="426" spans="1:5" x14ac:dyDescent="0.35">
      <c r="A426" s="2">
        <v>42381</v>
      </c>
      <c r="B426">
        <f t="shared" si="6"/>
        <v>2016</v>
      </c>
      <c r="C426" s="1" t="s">
        <v>4</v>
      </c>
      <c r="D426" s="3">
        <v>38</v>
      </c>
      <c r="E426" t="s">
        <v>54</v>
      </c>
    </row>
    <row r="427" spans="1:5" x14ac:dyDescent="0.35">
      <c r="A427" s="2">
        <v>42381</v>
      </c>
      <c r="B427">
        <f t="shared" si="6"/>
        <v>2016</v>
      </c>
      <c r="C427" s="1" t="s">
        <v>9</v>
      </c>
      <c r="D427" s="3">
        <v>13</v>
      </c>
      <c r="E427" t="s">
        <v>55</v>
      </c>
    </row>
    <row r="428" spans="1:5" x14ac:dyDescent="0.35">
      <c r="A428" s="2">
        <v>42381</v>
      </c>
      <c r="B428">
        <f t="shared" si="6"/>
        <v>2016</v>
      </c>
      <c r="C428" s="1" t="s">
        <v>3</v>
      </c>
      <c r="D428" s="3">
        <v>41</v>
      </c>
      <c r="E428" t="s">
        <v>54</v>
      </c>
    </row>
    <row r="429" spans="1:5" x14ac:dyDescent="0.35">
      <c r="A429" s="2">
        <v>42381</v>
      </c>
      <c r="B429">
        <f t="shared" si="6"/>
        <v>2016</v>
      </c>
      <c r="C429" s="1" t="s">
        <v>10</v>
      </c>
      <c r="D429" s="3">
        <v>18</v>
      </c>
      <c r="E429" t="s">
        <v>55</v>
      </c>
    </row>
    <row r="430" spans="1:5" x14ac:dyDescent="0.35">
      <c r="A430" s="2">
        <v>42381</v>
      </c>
      <c r="B430">
        <f t="shared" si="6"/>
        <v>2016</v>
      </c>
      <c r="C430" s="1" t="s">
        <v>6</v>
      </c>
      <c r="D430" s="3">
        <v>65</v>
      </c>
      <c r="E430" t="s">
        <v>54</v>
      </c>
    </row>
    <row r="431" spans="1:5" x14ac:dyDescent="0.35">
      <c r="A431" s="2">
        <v>42381</v>
      </c>
      <c r="B431">
        <f t="shared" si="6"/>
        <v>2016</v>
      </c>
      <c r="C431" s="1" t="s">
        <v>11</v>
      </c>
      <c r="D431" s="3">
        <v>30</v>
      </c>
      <c r="E431" t="s">
        <v>55</v>
      </c>
    </row>
    <row r="432" spans="1:5" x14ac:dyDescent="0.35">
      <c r="A432" s="2">
        <v>42381</v>
      </c>
      <c r="B432">
        <f t="shared" si="6"/>
        <v>2016</v>
      </c>
      <c r="C432" s="1" t="s">
        <v>8</v>
      </c>
      <c r="D432" s="3">
        <v>91.56</v>
      </c>
      <c r="E432" t="s">
        <v>8</v>
      </c>
    </row>
    <row r="433" spans="1:5" x14ac:dyDescent="0.35">
      <c r="A433" s="2">
        <v>42381</v>
      </c>
      <c r="B433">
        <f t="shared" si="6"/>
        <v>2016</v>
      </c>
      <c r="C433" s="1" t="s">
        <v>12</v>
      </c>
      <c r="D433" s="3">
        <v>4</v>
      </c>
      <c r="E433" t="s">
        <v>12</v>
      </c>
    </row>
    <row r="434" spans="1:5" x14ac:dyDescent="0.35">
      <c r="A434" s="2">
        <v>42381</v>
      </c>
      <c r="B434">
        <f t="shared" si="6"/>
        <v>2016</v>
      </c>
      <c r="C434" s="1" t="s">
        <v>49</v>
      </c>
      <c r="D434" s="3">
        <v>4</v>
      </c>
      <c r="E434" s="1" t="s">
        <v>49</v>
      </c>
    </row>
    <row r="435" spans="1:5" x14ac:dyDescent="0.35">
      <c r="A435" s="2">
        <v>42381</v>
      </c>
      <c r="B435">
        <f>YEAR(A435)</f>
        <v>2016</v>
      </c>
      <c r="C435" s="1" t="s">
        <v>50</v>
      </c>
      <c r="D435" s="4">
        <v>18.130000000000003</v>
      </c>
      <c r="E435" s="1" t="s">
        <v>50</v>
      </c>
    </row>
    <row r="436" spans="1:5" x14ac:dyDescent="0.35">
      <c r="A436" s="5">
        <v>41651</v>
      </c>
      <c r="B436">
        <f>YEAR(A436)</f>
        <v>2014</v>
      </c>
      <c r="C436" t="s">
        <v>51</v>
      </c>
      <c r="D436">
        <v>524</v>
      </c>
      <c r="E436" t="s">
        <v>54</v>
      </c>
    </row>
    <row r="437" spans="1:5" x14ac:dyDescent="0.35">
      <c r="A437" s="5">
        <v>42016</v>
      </c>
      <c r="B437">
        <f t="shared" ref="B437:B438" si="7">YEAR(A437)</f>
        <v>2015</v>
      </c>
      <c r="C437" t="s">
        <v>51</v>
      </c>
      <c r="D437">
        <v>550</v>
      </c>
      <c r="E437" t="s">
        <v>54</v>
      </c>
    </row>
    <row r="438" spans="1:5" x14ac:dyDescent="0.35">
      <c r="A438" s="5">
        <v>42381</v>
      </c>
      <c r="B438">
        <f t="shared" si="7"/>
        <v>2016</v>
      </c>
      <c r="C438" t="s">
        <v>51</v>
      </c>
      <c r="D438">
        <v>628</v>
      </c>
      <c r="E438" t="s">
        <v>54</v>
      </c>
    </row>
  </sheetData>
  <autoFilter ref="A3:E438" xr:uid="{00000000-0001-0000-0000-000000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3C135-3227-4AD4-BCCA-F4CC0D27A444}">
  <dimension ref="A1:O40"/>
  <sheetViews>
    <sheetView tabSelected="1" workbookViewId="0">
      <selection activeCell="M4" sqref="M4"/>
    </sheetView>
  </sheetViews>
  <sheetFormatPr defaultRowHeight="14.5" outlineLevelCol="1" x14ac:dyDescent="0.35"/>
  <cols>
    <col min="1" max="1" width="18.54296875" style="12" customWidth="1"/>
    <col min="2" max="4" width="8.7265625" style="12"/>
    <col min="5" max="5" width="2.7265625" style="12" customWidth="1"/>
    <col min="6" max="7" width="10.7265625" style="12" bestFit="1" customWidth="1" outlineLevel="1"/>
    <col min="8" max="9" width="8.7265625" style="12"/>
    <col min="10" max="10" width="9.81640625" style="12" bestFit="1" customWidth="1"/>
    <col min="11" max="16384" width="8.7265625" style="12"/>
  </cols>
  <sheetData>
    <row r="1" spans="1:12" ht="30" x14ac:dyDescent="0.6">
      <c r="A1" s="30" t="s">
        <v>56</v>
      </c>
    </row>
    <row r="2" spans="1:12" ht="18.5" x14ac:dyDescent="0.35">
      <c r="A2" s="31" t="s">
        <v>123</v>
      </c>
      <c r="B2" s="27" t="s">
        <v>125</v>
      </c>
      <c r="H2" s="32" t="s">
        <v>121</v>
      </c>
      <c r="I2" s="32"/>
      <c r="J2" s="32"/>
      <c r="K2" s="32"/>
      <c r="L2" s="32"/>
    </row>
    <row r="3" spans="1:12" ht="17.5" thickBot="1" x14ac:dyDescent="0.45">
      <c r="A3" s="42" t="s">
        <v>62</v>
      </c>
      <c r="B3" s="42">
        <v>2014</v>
      </c>
      <c r="C3" s="42">
        <v>2015</v>
      </c>
      <c r="D3" s="42">
        <v>2016</v>
      </c>
      <c r="F3" s="42" t="s">
        <v>63</v>
      </c>
      <c r="G3" s="42" t="s">
        <v>64</v>
      </c>
      <c r="H3" s="42">
        <v>2017</v>
      </c>
      <c r="I3" s="42">
        <v>2018</v>
      </c>
      <c r="J3" s="42">
        <v>2019</v>
      </c>
      <c r="K3" s="42">
        <v>2020</v>
      </c>
      <c r="L3" s="42">
        <v>2021</v>
      </c>
    </row>
    <row r="4" spans="1:12" ht="15" thickTop="1" x14ac:dyDescent="0.35">
      <c r="A4" s="12" t="s">
        <v>54</v>
      </c>
      <c r="B4" s="12">
        <f>+SUMIFS(Work!$D:$D,Work!$E:$E,'P&amp;L'!$A4,Work!$B:$B,'P&amp;L'!B$3)</f>
        <v>2922</v>
      </c>
      <c r="C4" s="12">
        <f>+SUMIFS(Work!$D:$D,Work!$E:$E,'P&amp;L'!$A4,Work!$B:$B,'P&amp;L'!C$3)</f>
        <v>2984</v>
      </c>
      <c r="D4" s="12">
        <f>+SUMIFS(Work!$D:$D,Work!$E:$E,'P&amp;L'!$A4,Work!$B:$B,'P&amp;L'!D$3)</f>
        <v>3040</v>
      </c>
      <c r="F4" s="33">
        <f t="shared" ref="F4:F14" si="0">C4/B4-1</f>
        <v>2.1218343600273748E-2</v>
      </c>
      <c r="G4" s="33">
        <f t="shared" ref="G4:G14" si="1">D4/C4-1</f>
        <v>1.8766756032171594E-2</v>
      </c>
      <c r="H4" s="46">
        <f ca="1">D4*(1+H19)</f>
        <v>3131.2000000000003</v>
      </c>
      <c r="I4" s="46">
        <f ca="1">H4*(1+I19)</f>
        <v>3225.1360000000004</v>
      </c>
      <c r="J4" s="46">
        <f ca="1">I4*(1+J19)</f>
        <v>3321.8900800000006</v>
      </c>
      <c r="K4" s="46">
        <f t="shared" ref="K4:L4" ca="1" si="2">J4*(1+K19)</f>
        <v>3421.5467824000007</v>
      </c>
      <c r="L4" s="46">
        <f t="shared" ca="1" si="2"/>
        <v>3524.1931858720009</v>
      </c>
    </row>
    <row r="5" spans="1:12" ht="15" thickBot="1" x14ac:dyDescent="0.4">
      <c r="A5" s="12" t="s">
        <v>55</v>
      </c>
      <c r="B5" s="12">
        <f xml:space="preserve"> -1*SUMIFS(Work!$D:$D,Work!$E:$E,'P&amp;L'!$A5,Work!$B:$B,'P&amp;L'!B$3)</f>
        <v>-1401</v>
      </c>
      <c r="C5" s="12">
        <f xml:space="preserve"> -1*SUMIFS(Work!$D:$D,Work!$E:$E,'P&amp;L'!$A5,Work!$B:$B,'P&amp;L'!C$3)</f>
        <v>-1383</v>
      </c>
      <c r="D5" s="12">
        <f xml:space="preserve"> -1*SUMIFS(Work!$D:$D,Work!$E:$E,'P&amp;L'!$A5,Work!$B:$B,'P&amp;L'!D$3)</f>
        <v>-1367</v>
      </c>
      <c r="F5" s="33">
        <f t="shared" si="0"/>
        <v>-1.2847965738758016E-2</v>
      </c>
      <c r="G5" s="33">
        <f t="shared" si="1"/>
        <v>-1.156905278380338E-2</v>
      </c>
      <c r="H5" s="34">
        <f ca="1">H4*H25</f>
        <v>-1409.0400000000002</v>
      </c>
      <c r="I5" s="34">
        <f t="shared" ref="I5:L5" ca="1" si="3">I4*I25</f>
        <v>-1451.3112000000003</v>
      </c>
      <c r="J5" s="34">
        <f t="shared" ca="1" si="3"/>
        <v>-1494.8505360000004</v>
      </c>
      <c r="K5" s="34">
        <f t="shared" ca="1" si="3"/>
        <v>-1539.6960520800003</v>
      </c>
      <c r="L5" s="34">
        <f t="shared" ca="1" si="3"/>
        <v>-1585.8869336424004</v>
      </c>
    </row>
    <row r="6" spans="1:12" ht="15" thickTop="1" x14ac:dyDescent="0.35">
      <c r="A6" s="35" t="s">
        <v>57</v>
      </c>
      <c r="B6" s="35">
        <f>SUM(B4,B5)</f>
        <v>1521</v>
      </c>
      <c r="C6" s="35">
        <f t="shared" ref="C6:D6" si="4">SUM(C4,C5)</f>
        <v>1601</v>
      </c>
      <c r="D6" s="35">
        <f t="shared" si="4"/>
        <v>1673</v>
      </c>
      <c r="F6" s="36">
        <f t="shared" si="0"/>
        <v>5.2596975673898649E-2</v>
      </c>
      <c r="G6" s="36">
        <f t="shared" si="1"/>
        <v>4.4971892567145622E-2</v>
      </c>
      <c r="H6" s="37">
        <f ca="1">SUM(H4:H5)</f>
        <v>1722.16</v>
      </c>
      <c r="I6" s="37">
        <f t="shared" ref="I6:L6" ca="1" si="5">SUM(I4:I5)</f>
        <v>1773.8248000000001</v>
      </c>
      <c r="J6" s="37">
        <f t="shared" ca="1" si="5"/>
        <v>1827.0395440000002</v>
      </c>
      <c r="K6" s="37">
        <f t="shared" ca="1" si="5"/>
        <v>1881.8507303200004</v>
      </c>
      <c r="L6" s="37">
        <f t="shared" ca="1" si="5"/>
        <v>1938.3062522296004</v>
      </c>
    </row>
    <row r="7" spans="1:12" ht="15" thickBot="1" x14ac:dyDescent="0.4">
      <c r="A7" s="12" t="s">
        <v>8</v>
      </c>
      <c r="B7" s="12">
        <f xml:space="preserve"> -1*SUMIFS(Work!$D:$D,Work!$E:$E,'P&amp;L'!$A7,Work!$B:$B,'P&amp;L'!B$3)</f>
        <v>-1212.1799999999998</v>
      </c>
      <c r="C7" s="12">
        <f xml:space="preserve"> -1*SUMIFS(Work!$D:$D,Work!$E:$E,'P&amp;L'!$A7,Work!$B:$B,'P&amp;L'!C$3)</f>
        <v>-1245.3399999999999</v>
      </c>
      <c r="D7" s="12">
        <f xml:space="preserve"> -1*SUMIFS(Work!$D:$D,Work!$E:$E,'P&amp;L'!$A7,Work!$B:$B,'P&amp;L'!D$3)</f>
        <v>-1068.24</v>
      </c>
      <c r="F7" s="33">
        <f t="shared" si="0"/>
        <v>2.7355673249847445E-2</v>
      </c>
      <c r="G7" s="33">
        <f t="shared" si="1"/>
        <v>-0.14221015947452098</v>
      </c>
      <c r="H7" s="34">
        <f ca="1">H4*H31</f>
        <v>-1095.92</v>
      </c>
      <c r="I7" s="34">
        <f t="shared" ref="I7:L7" ca="1" si="6">I4*I31</f>
        <v>-1128.7976000000001</v>
      </c>
      <c r="J7" s="34">
        <f t="shared" ca="1" si="6"/>
        <v>-1162.6615280000001</v>
      </c>
      <c r="K7" s="34">
        <f t="shared" ca="1" si="6"/>
        <v>-1197.5413738400002</v>
      </c>
      <c r="L7" s="34">
        <f t="shared" ca="1" si="6"/>
        <v>-1233.4676150552002</v>
      </c>
    </row>
    <row r="8" spans="1:12" ht="15" thickTop="1" x14ac:dyDescent="0.35">
      <c r="A8" s="35" t="s">
        <v>58</v>
      </c>
      <c r="B8" s="35">
        <f>SUM(B6,B7)</f>
        <v>308.82000000000016</v>
      </c>
      <c r="C8" s="35">
        <f t="shared" ref="C8:D8" si="7">SUM(C6,C7)</f>
        <v>355.66000000000008</v>
      </c>
      <c r="D8" s="35">
        <f t="shared" si="7"/>
        <v>604.76</v>
      </c>
      <c r="F8" s="36">
        <f t="shared" si="0"/>
        <v>0.15167411437083045</v>
      </c>
      <c r="G8" s="36">
        <f t="shared" si="1"/>
        <v>0.70038801102176196</v>
      </c>
      <c r="H8" s="37">
        <f ca="1">SUM(H6:H7)</f>
        <v>626.24</v>
      </c>
      <c r="I8" s="37">
        <f t="shared" ref="I8:L8" ca="1" si="8">SUM(I6:I7)</f>
        <v>645.02719999999999</v>
      </c>
      <c r="J8" s="37">
        <f t="shared" ca="1" si="8"/>
        <v>664.37801600000012</v>
      </c>
      <c r="K8" s="37">
        <f t="shared" ca="1" si="8"/>
        <v>684.30935648000013</v>
      </c>
      <c r="L8" s="37">
        <f t="shared" ca="1" si="8"/>
        <v>704.83863717440022</v>
      </c>
    </row>
    <row r="9" spans="1:12" ht="15" thickBot="1" x14ac:dyDescent="0.4">
      <c r="A9" s="12" t="s">
        <v>12</v>
      </c>
      <c r="B9" s="12">
        <f xml:space="preserve"> -1*SUMIFS(Work!$D:$D,Work!$E:$E,'P&amp;L'!$A9,Work!$B:$B,'P&amp;L'!B$3)</f>
        <v>-31</v>
      </c>
      <c r="C9" s="12">
        <f xml:space="preserve"> -1*SUMIFS(Work!$D:$D,Work!$E:$E,'P&amp;L'!$A9,Work!$B:$B,'P&amp;L'!C$3)</f>
        <v>-44</v>
      </c>
      <c r="D9" s="12">
        <f xml:space="preserve"> -1*SUMIFS(Work!$D:$D,Work!$E:$E,'P&amp;L'!$A9,Work!$B:$B,'P&amp;L'!D$3)</f>
        <v>-41</v>
      </c>
      <c r="F9" s="33">
        <f t="shared" si="0"/>
        <v>0.41935483870967749</v>
      </c>
      <c r="G9" s="33">
        <f t="shared" si="1"/>
        <v>-6.8181818181818232E-2</v>
      </c>
      <c r="H9" s="34">
        <f>'FA Roll Forward'!F8</f>
        <v>-44.314229249011859</v>
      </c>
      <c r="I9" s="34">
        <f>'FA Roll Forward'!G8</f>
        <v>-45.260066553140966</v>
      </c>
      <c r="J9" s="34">
        <f>'FA Roll Forward'!H8</f>
        <v>-46.22609168905781</v>
      </c>
      <c r="K9" s="34">
        <f>'FA Roll Forward'!I8</f>
        <v>-47.212735543290663</v>
      </c>
      <c r="L9" s="34">
        <f>'FA Roll Forward'!J8</f>
        <v>-48.22043819915536</v>
      </c>
    </row>
    <row r="10" spans="1:12" ht="15" thickTop="1" x14ac:dyDescent="0.35">
      <c r="A10" s="35" t="s">
        <v>59</v>
      </c>
      <c r="B10" s="35">
        <f>SUM(B8,B9)</f>
        <v>277.82000000000016</v>
      </c>
      <c r="C10" s="35">
        <f t="shared" ref="C10:D10" si="9">SUM(C8,C9)</f>
        <v>311.66000000000008</v>
      </c>
      <c r="D10" s="35">
        <f t="shared" si="9"/>
        <v>563.76</v>
      </c>
      <c r="F10" s="36">
        <f t="shared" si="0"/>
        <v>0.12180548556619364</v>
      </c>
      <c r="G10" s="36">
        <f t="shared" si="1"/>
        <v>0.80889430789963379</v>
      </c>
      <c r="H10" s="37">
        <f ca="1">SUM(H8:H9)</f>
        <v>581.92577075098814</v>
      </c>
      <c r="I10" s="37">
        <f t="shared" ref="I10:L10" ca="1" si="10">SUM(I8:I9)</f>
        <v>599.76713344685902</v>
      </c>
      <c r="J10" s="37">
        <f t="shared" ca="1" si="10"/>
        <v>618.15192431094226</v>
      </c>
      <c r="K10" s="37">
        <f t="shared" ca="1" si="10"/>
        <v>637.09662093670943</v>
      </c>
      <c r="L10" s="37">
        <f t="shared" ca="1" si="10"/>
        <v>656.61819897524481</v>
      </c>
    </row>
    <row r="11" spans="1:12" ht="15" thickBot="1" x14ac:dyDescent="0.4">
      <c r="A11" s="12" t="s">
        <v>49</v>
      </c>
      <c r="B11" s="12">
        <f xml:space="preserve"> -1*SUMIFS(Work!$D:$D,Work!$E:$E,'P&amp;L'!$A11,Work!$B:$B,'P&amp;L'!B$3)</f>
        <v>-56</v>
      </c>
      <c r="C11" s="12">
        <f xml:space="preserve"> -1*SUMIFS(Work!$D:$D,Work!$E:$E,'P&amp;L'!$A11,Work!$B:$B,'P&amp;L'!C$3)</f>
        <v>-65</v>
      </c>
      <c r="D11" s="12">
        <f xml:space="preserve"> -1*SUMIFS(Work!$D:$D,Work!$E:$E,'P&amp;L'!$A11,Work!$B:$B,'P&amp;L'!D$3)</f>
        <v>-52</v>
      </c>
      <c r="F11" s="33">
        <f t="shared" si="0"/>
        <v>0.16071428571428581</v>
      </c>
      <c r="G11" s="33">
        <f t="shared" si="1"/>
        <v>-0.19999999999999996</v>
      </c>
      <c r="H11" s="34">
        <f>'Financial Liabilities'!C18</f>
        <v>-54.449999999999996</v>
      </c>
      <c r="I11" s="34">
        <f>'Financial Liabilities'!D18</f>
        <v>-50.866096104453106</v>
      </c>
      <c r="J11" s="34">
        <f>'Financial Liabilities'!E18</f>
        <v>-46.959640858306997</v>
      </c>
      <c r="K11" s="34">
        <f>'Financial Liabilities'!F18</f>
        <v>-42.701604640007737</v>
      </c>
      <c r="L11" s="34">
        <f>'Financial Liabilities'!G18</f>
        <v>-38.060345162061552</v>
      </c>
    </row>
    <row r="12" spans="1:12" ht="15" thickTop="1" x14ac:dyDescent="0.35">
      <c r="A12" s="35" t="s">
        <v>60</v>
      </c>
      <c r="B12" s="35">
        <f>SUM(B10,B11)</f>
        <v>221.82000000000016</v>
      </c>
      <c r="C12" s="35">
        <f t="shared" ref="C12:D12" si="11">SUM(C10,C11)</f>
        <v>246.66000000000008</v>
      </c>
      <c r="D12" s="35">
        <f t="shared" si="11"/>
        <v>511.76</v>
      </c>
      <c r="F12" s="36">
        <f t="shared" si="0"/>
        <v>0.11198268866648586</v>
      </c>
      <c r="G12" s="36">
        <f t="shared" si="1"/>
        <v>1.0747587772642495</v>
      </c>
      <c r="H12" s="37">
        <f ca="1">SUM(H10:H11)</f>
        <v>527.47577075098809</v>
      </c>
      <c r="I12" s="37">
        <f t="shared" ref="I12:K12" ca="1" si="12">SUM(I10:I11)</f>
        <v>548.90103734240597</v>
      </c>
      <c r="J12" s="37">
        <f t="shared" ca="1" si="12"/>
        <v>571.19228345263525</v>
      </c>
      <c r="K12" s="37">
        <f t="shared" ca="1" si="12"/>
        <v>594.39501629670167</v>
      </c>
      <c r="L12" s="37">
        <f ca="1">SUM(L10:L11)</f>
        <v>618.55785381318321</v>
      </c>
    </row>
    <row r="13" spans="1:12" x14ac:dyDescent="0.35">
      <c r="A13" s="12" t="s">
        <v>50</v>
      </c>
      <c r="B13" s="12">
        <f xml:space="preserve"> -1*SUMIFS(Work!$D:$D,Work!$E:$E,'P&amp;L'!$A13,Work!$B:$B,'P&amp;L'!B$3)</f>
        <v>-207.52</v>
      </c>
      <c r="C13" s="12">
        <f xml:space="preserve"> -1*SUMIFS(Work!$D:$D,Work!$E:$E,'P&amp;L'!$A13,Work!$B:$B,'P&amp;L'!C$3)</f>
        <v>-209.98</v>
      </c>
      <c r="D13" s="12">
        <f xml:space="preserve"> -1*SUMIFS(Work!$D:$D,Work!$E:$E,'P&amp;L'!$A13,Work!$B:$B,'P&amp;L'!D$3)</f>
        <v>-208.57999999999998</v>
      </c>
      <c r="F13" s="33">
        <f t="shared" si="0"/>
        <v>1.1854279105628196E-2</v>
      </c>
      <c r="G13" s="33">
        <f t="shared" si="1"/>
        <v>-6.6673016477759584E-3</v>
      </c>
      <c r="H13" s="34">
        <f ca="1">H12*H37</f>
        <v>-184.61651976284583</v>
      </c>
      <c r="I13" s="34">
        <f t="shared" ref="I13:L13" ca="1" si="13">I12*I37</f>
        <v>-192.11536306984209</v>
      </c>
      <c r="J13" s="34">
        <f t="shared" ca="1" si="13"/>
        <v>-199.91729920842232</v>
      </c>
      <c r="K13" s="34">
        <f t="shared" ca="1" si="13"/>
        <v>-208.03825570384558</v>
      </c>
      <c r="L13" s="34">
        <f t="shared" ca="1" si="13"/>
        <v>-216.4952488346141</v>
      </c>
    </row>
    <row r="14" spans="1:12" ht="16" thickBot="1" x14ac:dyDescent="0.4">
      <c r="A14" s="38" t="s">
        <v>61</v>
      </c>
      <c r="B14" s="38">
        <f>SUM(B12,B13)</f>
        <v>14.300000000000153</v>
      </c>
      <c r="C14" s="38">
        <f t="shared" ref="C14:D14" si="14">SUM(C12,C13)</f>
        <v>36.680000000000092</v>
      </c>
      <c r="D14" s="38">
        <f t="shared" si="14"/>
        <v>303.18</v>
      </c>
      <c r="F14" s="39">
        <f t="shared" si="0"/>
        <v>1.5650349650349438</v>
      </c>
      <c r="G14" s="39">
        <f t="shared" si="1"/>
        <v>7.2655398037077212</v>
      </c>
      <c r="H14" s="40">
        <f ca="1">SUM(H12:H13)</f>
        <v>342.85925098814226</v>
      </c>
      <c r="I14" s="40">
        <f t="shared" ref="I14:L14" ca="1" si="15">SUM(I12:I13)</f>
        <v>356.78567427256388</v>
      </c>
      <c r="J14" s="40">
        <f t="shared" ca="1" si="15"/>
        <v>371.27498424421293</v>
      </c>
      <c r="K14" s="40">
        <f t="shared" ca="1" si="15"/>
        <v>386.35676059285606</v>
      </c>
      <c r="L14" s="40">
        <f t="shared" ca="1" si="15"/>
        <v>402.06260497856908</v>
      </c>
    </row>
    <row r="15" spans="1:12" ht="15" thickTop="1" x14ac:dyDescent="0.35"/>
    <row r="16" spans="1:12" x14ac:dyDescent="0.35">
      <c r="A16" s="60" t="s">
        <v>122</v>
      </c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</row>
    <row r="17" spans="1:12" x14ac:dyDescent="0.35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</row>
    <row r="18" spans="1:12" ht="15.5" x14ac:dyDescent="0.35">
      <c r="A18" s="61" t="s">
        <v>124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</row>
    <row r="19" spans="1:12" x14ac:dyDescent="0.35">
      <c r="A19" s="62" t="s">
        <v>130</v>
      </c>
      <c r="B19" s="60"/>
      <c r="C19" s="60"/>
      <c r="D19" s="60"/>
      <c r="E19" s="60"/>
      <c r="F19" s="60"/>
      <c r="G19" s="60"/>
      <c r="H19" s="63">
        <f ca="1">OFFSET(H19,MATCH($B$2,$A20:$A22,0),0)</f>
        <v>0.03</v>
      </c>
      <c r="I19" s="63">
        <f t="shared" ref="I19:L19" ca="1" si="16">OFFSET(I19,MATCH($B$2,$A20:$A22,0),0)</f>
        <v>0.03</v>
      </c>
      <c r="J19" s="63">
        <f t="shared" ca="1" si="16"/>
        <v>0.03</v>
      </c>
      <c r="K19" s="63">
        <f t="shared" ca="1" si="16"/>
        <v>0.03</v>
      </c>
      <c r="L19" s="63">
        <f t="shared" ca="1" si="16"/>
        <v>0.03</v>
      </c>
    </row>
    <row r="20" spans="1:12" x14ac:dyDescent="0.35">
      <c r="A20" s="60" t="s">
        <v>125</v>
      </c>
      <c r="B20" s="64"/>
      <c r="C20" s="64"/>
      <c r="D20" s="64"/>
      <c r="E20" s="60"/>
      <c r="F20" s="60"/>
      <c r="G20" s="60"/>
      <c r="H20" s="65">
        <v>0.03</v>
      </c>
      <c r="I20" s="65">
        <v>0.03</v>
      </c>
      <c r="J20" s="65">
        <v>0.03</v>
      </c>
      <c r="K20" s="65">
        <v>0.03</v>
      </c>
      <c r="L20" s="65">
        <v>0.03</v>
      </c>
    </row>
    <row r="21" spans="1:12" x14ac:dyDescent="0.35">
      <c r="A21" s="60" t="s">
        <v>126</v>
      </c>
      <c r="B21" s="64"/>
      <c r="C21" s="64"/>
      <c r="D21" s="64"/>
      <c r="E21" s="60"/>
      <c r="F21" s="60"/>
      <c r="G21" s="60"/>
      <c r="H21" s="65">
        <v>0.02</v>
      </c>
      <c r="I21" s="65">
        <v>0.02</v>
      </c>
      <c r="J21" s="65">
        <v>0.02</v>
      </c>
      <c r="K21" s="65">
        <v>0.02</v>
      </c>
      <c r="L21" s="65">
        <v>0.02</v>
      </c>
    </row>
    <row r="22" spans="1:12" x14ac:dyDescent="0.35">
      <c r="A22" s="60" t="s">
        <v>127</v>
      </c>
      <c r="B22" s="64"/>
      <c r="C22" s="64"/>
      <c r="D22" s="64"/>
      <c r="E22" s="60"/>
      <c r="F22" s="60"/>
      <c r="G22" s="60"/>
      <c r="H22" s="65">
        <v>0.01</v>
      </c>
      <c r="I22" s="65">
        <v>0.01</v>
      </c>
      <c r="J22" s="65">
        <v>0.01</v>
      </c>
      <c r="K22" s="65">
        <v>0.01</v>
      </c>
      <c r="L22" s="65">
        <v>0.01</v>
      </c>
    </row>
    <row r="23" spans="1:12" x14ac:dyDescent="0.35">
      <c r="A23" s="60"/>
      <c r="B23" s="60"/>
      <c r="C23" s="60"/>
      <c r="D23" s="60"/>
      <c r="E23" s="60"/>
      <c r="F23" s="60"/>
      <c r="G23" s="60"/>
      <c r="H23" s="66"/>
      <c r="I23" s="66"/>
      <c r="J23" s="66"/>
      <c r="K23" s="66"/>
      <c r="L23" s="66"/>
    </row>
    <row r="24" spans="1:12" ht="15.5" x14ac:dyDescent="0.35">
      <c r="A24" s="61" t="s">
        <v>128</v>
      </c>
      <c r="B24" s="60"/>
      <c r="C24" s="60"/>
      <c r="D24" s="60"/>
      <c r="E24" s="60"/>
      <c r="F24" s="60"/>
      <c r="G24" s="60"/>
      <c r="H24" s="66"/>
      <c r="I24" s="66"/>
      <c r="J24" s="66"/>
      <c r="K24" s="66"/>
      <c r="L24" s="66"/>
    </row>
    <row r="25" spans="1:12" x14ac:dyDescent="0.35">
      <c r="A25" s="62" t="s">
        <v>130</v>
      </c>
      <c r="B25" s="60"/>
      <c r="C25" s="60"/>
      <c r="D25" s="60"/>
      <c r="E25" s="60"/>
      <c r="F25" s="60"/>
      <c r="G25" s="60"/>
      <c r="H25" s="63">
        <f ca="1">OFFSET(H25,MATCH($B$2,$A26:$A28,0),0)</f>
        <v>-0.45</v>
      </c>
      <c r="I25" s="63">
        <f t="shared" ref="I25:L25" ca="1" si="17">OFFSET(I25,MATCH($B$2,$A26:$A28,0),0)</f>
        <v>-0.45</v>
      </c>
      <c r="J25" s="63">
        <f t="shared" ca="1" si="17"/>
        <v>-0.45</v>
      </c>
      <c r="K25" s="63">
        <f t="shared" ca="1" si="17"/>
        <v>-0.45</v>
      </c>
      <c r="L25" s="63">
        <f t="shared" ca="1" si="17"/>
        <v>-0.45</v>
      </c>
    </row>
    <row r="26" spans="1:12" x14ac:dyDescent="0.35">
      <c r="A26" s="60" t="s">
        <v>125</v>
      </c>
      <c r="B26" s="63">
        <f>B$5/B$4</f>
        <v>-0.47946611909650921</v>
      </c>
      <c r="C26" s="63">
        <f t="shared" ref="C26:D28" si="18">C$5/C$4</f>
        <v>-0.46347184986595175</v>
      </c>
      <c r="D26" s="63">
        <f t="shared" si="18"/>
        <v>-0.44967105263157897</v>
      </c>
      <c r="E26" s="60"/>
      <c r="F26" s="60"/>
      <c r="G26" s="60"/>
      <c r="H26" s="65">
        <v>-0.45</v>
      </c>
      <c r="I26" s="65">
        <v>-0.45</v>
      </c>
      <c r="J26" s="65">
        <v>-0.45</v>
      </c>
      <c r="K26" s="65">
        <v>-0.45</v>
      </c>
      <c r="L26" s="65">
        <v>-0.45</v>
      </c>
    </row>
    <row r="27" spans="1:12" x14ac:dyDescent="0.35">
      <c r="A27" s="60" t="s">
        <v>126</v>
      </c>
      <c r="B27" s="63">
        <f t="shared" ref="B27:B28" si="19">B$5/B$4</f>
        <v>-0.47946611909650921</v>
      </c>
      <c r="C27" s="63">
        <f t="shared" si="18"/>
        <v>-0.46347184986595175</v>
      </c>
      <c r="D27" s="63">
        <f t="shared" si="18"/>
        <v>-0.44967105263157897</v>
      </c>
      <c r="E27" s="60"/>
      <c r="F27" s="60"/>
      <c r="G27" s="60"/>
      <c r="H27" s="65">
        <v>-0.46</v>
      </c>
      <c r="I27" s="65">
        <v>-0.46</v>
      </c>
      <c r="J27" s="65">
        <v>-0.46</v>
      </c>
      <c r="K27" s="65">
        <v>-0.46</v>
      </c>
      <c r="L27" s="65">
        <v>-0.46</v>
      </c>
    </row>
    <row r="28" spans="1:12" x14ac:dyDescent="0.35">
      <c r="A28" s="60" t="s">
        <v>127</v>
      </c>
      <c r="B28" s="63">
        <f t="shared" si="19"/>
        <v>-0.47946611909650921</v>
      </c>
      <c r="C28" s="63">
        <f t="shared" si="18"/>
        <v>-0.46347184986595175</v>
      </c>
      <c r="D28" s="63">
        <f t="shared" si="18"/>
        <v>-0.44967105263157897</v>
      </c>
      <c r="E28" s="60"/>
      <c r="F28" s="60"/>
      <c r="G28" s="60"/>
      <c r="H28" s="65">
        <v>-0.47</v>
      </c>
      <c r="I28" s="65">
        <v>-0.47</v>
      </c>
      <c r="J28" s="65">
        <v>-0.47</v>
      </c>
      <c r="K28" s="65">
        <v>-0.47</v>
      </c>
      <c r="L28" s="65">
        <v>-0.47</v>
      </c>
    </row>
    <row r="29" spans="1:12" x14ac:dyDescent="0.35">
      <c r="A29" s="60"/>
      <c r="B29" s="60"/>
      <c r="C29" s="60"/>
      <c r="D29" s="60"/>
      <c r="E29" s="60"/>
      <c r="F29" s="60"/>
      <c r="G29" s="60"/>
      <c r="H29" s="66"/>
      <c r="I29" s="66"/>
      <c r="J29" s="66"/>
      <c r="K29" s="66"/>
      <c r="L29" s="66"/>
    </row>
    <row r="30" spans="1:12" ht="15.5" x14ac:dyDescent="0.35">
      <c r="A30" s="61" t="s">
        <v>129</v>
      </c>
      <c r="B30" s="60"/>
      <c r="C30" s="60"/>
      <c r="D30" s="60"/>
      <c r="E30" s="60"/>
      <c r="F30" s="60"/>
      <c r="G30" s="60"/>
      <c r="H30" s="66"/>
      <c r="I30" s="66"/>
      <c r="J30" s="66"/>
      <c r="K30" s="66"/>
      <c r="L30" s="66"/>
    </row>
    <row r="31" spans="1:12" x14ac:dyDescent="0.35">
      <c r="A31" s="62" t="s">
        <v>130</v>
      </c>
      <c r="B31" s="60"/>
      <c r="C31" s="60"/>
      <c r="D31" s="60"/>
      <c r="E31" s="60"/>
      <c r="F31" s="60"/>
      <c r="G31" s="60"/>
      <c r="H31" s="63">
        <f ca="1">OFFSET(H31,MATCH($B$2,$A32:$A34,0),0)</f>
        <v>-0.35</v>
      </c>
      <c r="I31" s="63">
        <f t="shared" ref="I31:L31" ca="1" si="20">OFFSET(I31,MATCH($B$2,$A32:$A34,0),0)</f>
        <v>-0.35</v>
      </c>
      <c r="J31" s="63">
        <f t="shared" ca="1" si="20"/>
        <v>-0.35</v>
      </c>
      <c r="K31" s="63">
        <f t="shared" ca="1" si="20"/>
        <v>-0.35</v>
      </c>
      <c r="L31" s="63">
        <f t="shared" ca="1" si="20"/>
        <v>-0.35</v>
      </c>
    </row>
    <row r="32" spans="1:12" x14ac:dyDescent="0.35">
      <c r="A32" s="60" t="s">
        <v>125</v>
      </c>
      <c r="B32" s="63">
        <f>B$7/B$4</f>
        <v>-0.41484599589322374</v>
      </c>
      <c r="C32" s="63">
        <f t="shared" ref="C32:D34" si="21">C$7/C$4</f>
        <v>-0.4173391420911528</v>
      </c>
      <c r="D32" s="63">
        <f t="shared" si="21"/>
        <v>-0.35139473684210526</v>
      </c>
      <c r="E32" s="60"/>
      <c r="F32" s="60"/>
      <c r="G32" s="60"/>
      <c r="H32" s="65">
        <v>-0.35</v>
      </c>
      <c r="I32" s="65">
        <v>-0.35</v>
      </c>
      <c r="J32" s="65">
        <v>-0.35</v>
      </c>
      <c r="K32" s="65">
        <v>-0.35</v>
      </c>
      <c r="L32" s="65">
        <v>-0.35</v>
      </c>
    </row>
    <row r="33" spans="1:15" x14ac:dyDescent="0.35">
      <c r="A33" s="60" t="s">
        <v>126</v>
      </c>
      <c r="B33" s="63">
        <f t="shared" ref="B33:B34" si="22">B$7/B$4</f>
        <v>-0.41484599589322374</v>
      </c>
      <c r="C33" s="63">
        <f t="shared" si="21"/>
        <v>-0.4173391420911528</v>
      </c>
      <c r="D33" s="63">
        <f t="shared" si="21"/>
        <v>-0.35139473684210526</v>
      </c>
      <c r="E33" s="60"/>
      <c r="F33" s="60"/>
      <c r="G33" s="60"/>
      <c r="H33" s="65">
        <v>-0.39</v>
      </c>
      <c r="I33" s="65">
        <v>-0.39</v>
      </c>
      <c r="J33" s="65">
        <v>-0.39</v>
      </c>
      <c r="K33" s="65">
        <v>-0.39</v>
      </c>
      <c r="L33" s="65">
        <v>-0.39</v>
      </c>
    </row>
    <row r="34" spans="1:15" x14ac:dyDescent="0.35">
      <c r="A34" s="60" t="s">
        <v>127</v>
      </c>
      <c r="B34" s="63">
        <f t="shared" si="22"/>
        <v>-0.41484599589322374</v>
      </c>
      <c r="C34" s="63">
        <f t="shared" si="21"/>
        <v>-0.4173391420911528</v>
      </c>
      <c r="D34" s="63">
        <f t="shared" si="21"/>
        <v>-0.35139473684210526</v>
      </c>
      <c r="E34" s="60"/>
      <c r="F34" s="60"/>
      <c r="G34" s="60"/>
      <c r="H34" s="65">
        <v>-0.41</v>
      </c>
      <c r="I34" s="65">
        <v>-0.41</v>
      </c>
      <c r="J34" s="65">
        <v>-0.41</v>
      </c>
      <c r="K34" s="65">
        <v>-0.41</v>
      </c>
      <c r="L34" s="65">
        <v>-0.41</v>
      </c>
    </row>
    <row r="35" spans="1:15" x14ac:dyDescent="0.35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</row>
    <row r="36" spans="1:15" x14ac:dyDescent="0.35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</row>
    <row r="37" spans="1:15" x14ac:dyDescent="0.35">
      <c r="A37" s="60" t="s">
        <v>154</v>
      </c>
      <c r="B37" s="60"/>
      <c r="C37" s="60"/>
      <c r="D37" s="60"/>
      <c r="E37" s="60"/>
      <c r="F37" s="60"/>
      <c r="G37" s="60"/>
      <c r="H37" s="65">
        <v>-0.35</v>
      </c>
      <c r="I37" s="65">
        <v>-0.35</v>
      </c>
      <c r="J37" s="65">
        <v>-0.35</v>
      </c>
      <c r="K37" s="65">
        <v>-0.35</v>
      </c>
      <c r="L37" s="65">
        <v>-0.35</v>
      </c>
    </row>
    <row r="38" spans="1:15" x14ac:dyDescent="0.3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</row>
    <row r="40" spans="1:15" x14ac:dyDescent="0.35">
      <c r="O40" s="12" t="s">
        <v>155</v>
      </c>
    </row>
  </sheetData>
  <mergeCells count="1">
    <mergeCell ref="H2:L2"/>
  </mergeCells>
  <conditionalFormatting sqref="F4:G14">
    <cfRule type="iconSet" priority="1">
      <iconSet>
        <cfvo type="percent" val="0"/>
        <cfvo type="num" val="0"/>
        <cfvo type="num" val="0.1"/>
      </iconSet>
    </cfRule>
    <cfRule type="iconSet" priority="2">
      <iconSet>
        <cfvo type="percent" val="0"/>
        <cfvo type="percent" val="0"/>
        <cfvo type="percent" val="10"/>
      </iconSet>
    </cfRule>
    <cfRule type="iconSet" priority="3">
      <iconSet>
        <cfvo type="percent" val="0"/>
        <cfvo type="percent" val="0"/>
        <cfvo type="percent" val="10"/>
      </iconSet>
    </cfRule>
    <cfRule type="iconSet" priority="4">
      <iconSet>
        <cfvo type="percent" val="0"/>
        <cfvo type="percent" val="0"/>
        <cfvo type="percent" val="10"/>
      </iconSet>
    </cfRule>
  </conditionalFormatting>
  <dataValidations count="1">
    <dataValidation type="list" allowBlank="1" showInputMessage="1" showErrorMessage="1" sqref="B2" xr:uid="{CED980FA-29BC-4B64-8618-0F32850A3721}">
      <formula1>$A$20:$A$22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5EFE6-99A3-412F-B61A-F9D15FA8CE78}">
  <dimension ref="B2:J29"/>
  <sheetViews>
    <sheetView topLeftCell="B10" workbookViewId="0">
      <selection activeCell="L28" sqref="L28"/>
    </sheetView>
  </sheetViews>
  <sheetFormatPr defaultRowHeight="11.5" x14ac:dyDescent="0.25"/>
  <cols>
    <col min="1" max="1" width="3.6328125" style="23" customWidth="1"/>
    <col min="2" max="2" width="19.26953125" style="23" customWidth="1"/>
    <col min="3" max="3" width="9.1796875" style="23" bestFit="1" customWidth="1"/>
    <col min="4" max="4" width="10.6328125" style="23" customWidth="1"/>
    <col min="5" max="5" width="11.453125" style="23" customWidth="1"/>
    <col min="6" max="10" width="9.1796875" style="23" bestFit="1" customWidth="1"/>
    <col min="11" max="16384" width="8.7265625" style="23"/>
  </cols>
  <sheetData>
    <row r="2" spans="2:10" ht="14" x14ac:dyDescent="0.3">
      <c r="B2" s="24" t="s">
        <v>120</v>
      </c>
    </row>
    <row r="4" spans="2:10" x14ac:dyDescent="0.25">
      <c r="F4" s="29" t="s">
        <v>121</v>
      </c>
      <c r="G4" s="29"/>
      <c r="H4" s="29"/>
      <c r="I4" s="29"/>
      <c r="J4" s="29"/>
    </row>
    <row r="6" spans="2:10" ht="14.5" x14ac:dyDescent="0.35">
      <c r="B6" s="7" t="s">
        <v>62</v>
      </c>
      <c r="C6" s="25">
        <v>42004</v>
      </c>
      <c r="D6" s="25">
        <v>42369</v>
      </c>
      <c r="E6" s="25">
        <v>42735</v>
      </c>
      <c r="F6" s="25">
        <v>43100</v>
      </c>
      <c r="G6" s="25">
        <v>43465</v>
      </c>
      <c r="H6" s="25">
        <v>43830</v>
      </c>
      <c r="I6" s="25">
        <v>44196</v>
      </c>
      <c r="J6" s="25">
        <v>44561</v>
      </c>
    </row>
    <row r="7" spans="2:10" x14ac:dyDescent="0.25">
      <c r="B7" s="23" t="s">
        <v>71</v>
      </c>
      <c r="C7" s="23">
        <f>INDEX('BS 2014'!$1:$1048576,MATCH(BS!$B7,'BS 2014'!$A:$A,0),MATCH(C$6,'BS 2014'!$1:$1,0))</f>
        <v>143.9</v>
      </c>
      <c r="D7" s="23">
        <f>INDEX('BS 2015'!$1:$1048576,MATCH(BS!$B7,'BS 2015'!$A:$A,0),MATCH(D$6,'BS 2015'!$1:$1,0))</f>
        <v>154.80000000000001</v>
      </c>
      <c r="E7" s="23">
        <f>INDEX('BS 2016'!$1:$1048576,MATCH(BS!$B7,'BS 2016'!$A:$A,0),MATCH(E$6,'BS 2016'!$1:$1,0))</f>
        <v>169.3</v>
      </c>
      <c r="F7" s="48">
        <f ca="1">(F21*'P&amp;L'!H4)/360</f>
        <v>163.67257936433663</v>
      </c>
      <c r="G7" s="48">
        <f ca="1">(G21*'P&amp;L'!I4)/360</f>
        <v>168.58275674526672</v>
      </c>
      <c r="H7" s="48">
        <f ca="1">(H21*'P&amp;L'!J4)/360</f>
        <v>173.64023944762474</v>
      </c>
      <c r="I7" s="48">
        <f ca="1">(I21*'P&amp;L'!K4)/360</f>
        <v>178.8494466310535</v>
      </c>
      <c r="J7" s="48">
        <f ca="1">(J21*'P&amp;L'!L4)/360</f>
        <v>184.21493002998508</v>
      </c>
    </row>
    <row r="8" spans="2:10" x14ac:dyDescent="0.25">
      <c r="B8" s="23" t="s">
        <v>77</v>
      </c>
      <c r="C8" s="23">
        <f>INDEX('BS 2014'!$1:$1048576,MATCH(BS!$B8,'BS 2014'!$A:$A,0),MATCH(C$6,'BS 2014'!$1:$1,0))</f>
        <v>84.999999999999986</v>
      </c>
      <c r="D8" s="23">
        <f>INDEX('BS 2015'!$1:$1048576,MATCH(BS!$B8,'BS 2015'!$A:$A,0),MATCH(D$6,'BS 2015'!$1:$1,0))</f>
        <v>92.000000000000014</v>
      </c>
      <c r="E8" s="23">
        <f>INDEX('BS 2016'!$1:$1048576,MATCH(BS!$B8,'BS 2016'!$A:$A,0),MATCH(E$6,'BS 2016'!$1:$1,0))</f>
        <v>110</v>
      </c>
      <c r="F8" s="48">
        <f ca="1">-F23*'P&amp;L'!H$5/360</f>
        <v>97.534303643238303</v>
      </c>
      <c r="G8" s="48">
        <f ca="1">-G23*'P&amp;L'!I$5/360</f>
        <v>100.46033275253548</v>
      </c>
      <c r="H8" s="48">
        <f ca="1">-H23*'P&amp;L'!J$5/360</f>
        <v>103.47414273511156</v>
      </c>
      <c r="I8" s="48">
        <f ca="1">-I23*'P&amp;L'!K$5/360</f>
        <v>106.57836701716488</v>
      </c>
      <c r="J8" s="48">
        <f ca="1">-J23*'P&amp;L'!L$5/360</f>
        <v>109.77571802767983</v>
      </c>
    </row>
    <row r="9" spans="2:10" x14ac:dyDescent="0.25">
      <c r="B9" s="23" t="s">
        <v>82</v>
      </c>
      <c r="C9" s="23">
        <f>INDEX('BS 2014'!$1:$1048576,MATCH(BS!$B9,'BS 2014'!$A:$A,0),MATCH(C$6,'BS 2014'!$1:$1,0))</f>
        <v>632.5</v>
      </c>
      <c r="D9" s="23">
        <f>INDEX('BS 2015'!$1:$1048576,MATCH(BS!$B9,'BS 2015'!$A:$A,0),MATCH(D$6,'BS 2015'!$1:$1,0))</f>
        <v>632.5</v>
      </c>
      <c r="E9" s="23">
        <f>INDEX('BS 2016'!$1:$1048576,MATCH(BS!$B9,'BS 2016'!$A:$A,0),MATCH(E$6,'BS 2016'!$1:$1,0))</f>
        <v>659.5</v>
      </c>
      <c r="F9" s="48">
        <f>'FA Roll Forward'!F10</f>
        <v>673.57628458498027</v>
      </c>
      <c r="G9" s="48">
        <f>'FA Roll Forward'!G10</f>
        <v>687.95301160774272</v>
      </c>
      <c r="H9" s="48">
        <f>'FA Roll Forward'!H10</f>
        <v>702.6365936736787</v>
      </c>
      <c r="I9" s="48">
        <f>'FA Roll Forward'!I10</f>
        <v>717.63358025801801</v>
      </c>
      <c r="J9" s="48">
        <f>'FA Roll Forward'!J10</f>
        <v>732.95066062716148</v>
      </c>
    </row>
    <row r="10" spans="2:10" x14ac:dyDescent="0.25">
      <c r="B10" s="23" t="s">
        <v>86</v>
      </c>
      <c r="C10" s="23">
        <f>INDEX('BS 2014'!$1:$1048576,MATCH(BS!$B10,'BS 2014'!$A:$A,0),MATCH(C$6,'BS 2014'!$1:$1,0))</f>
        <v>24.8</v>
      </c>
      <c r="D10" s="23">
        <f>INDEX('BS 2015'!$1:$1048576,MATCH(BS!$B10,'BS 2015'!$A:$A,0),MATCH(D$6,'BS 2015'!$1:$1,0))</f>
        <v>21.8</v>
      </c>
      <c r="E10" s="23">
        <f>INDEX('BS 2016'!$1:$1048576,MATCH(BS!$B10,'BS 2016'!$A:$A,0),MATCH(E$6,'BS 2016'!$1:$1,0))</f>
        <v>220</v>
      </c>
      <c r="F10" s="48">
        <f ca="1">E10+'Cash flow'!C19</f>
        <v>409.58712299964463</v>
      </c>
      <c r="G10" s="48">
        <f ca="1">F10+'Cash flow'!D19</f>
        <v>559.82481259150927</v>
      </c>
      <c r="H10" s="48">
        <f ca="1">G10+'Cash flow'!E19</f>
        <v>714.36121998729175</v>
      </c>
      <c r="I10" s="48">
        <f ca="1">H10+'Cash flow'!F19</f>
        <v>873.18824782911304</v>
      </c>
      <c r="J10" s="48">
        <f ca="1">I10+'Cash flow'!G19</f>
        <v>1036.2848142743742</v>
      </c>
    </row>
    <row r="11" spans="2:10" ht="12" thickBot="1" x14ac:dyDescent="0.3">
      <c r="B11" s="23" t="s">
        <v>87</v>
      </c>
      <c r="C11" s="23">
        <f>INDEX('BS 2014'!$1:$1048576,MATCH(BS!$B11,'BS 2014'!$A:$A,0),MATCH(C$6,'BS 2014'!$1:$1,0))</f>
        <v>45.9</v>
      </c>
      <c r="D11" s="23">
        <f>INDEX('BS 2015'!$1:$1048576,MATCH(BS!$B11,'BS 2015'!$A:$A,0),MATCH(D$6,'BS 2015'!$1:$1,0))</f>
        <v>46.9</v>
      </c>
      <c r="E11" s="23">
        <f>INDEX('BS 2016'!$1:$1048576,MATCH(BS!$B11,'BS 2016'!$A:$A,0),MATCH(E$6,'BS 2016'!$1:$1,0))</f>
        <v>68</v>
      </c>
      <c r="F11" s="48">
        <f ca="1">F24*'P&amp;L'!H$4</f>
        <v>56.146588971892989</v>
      </c>
      <c r="G11" s="48">
        <f ca="1">G24*'P&amp;L'!I$4</f>
        <v>57.830986641049783</v>
      </c>
      <c r="H11" s="48">
        <f ca="1">H24*'P&amp;L'!J$4</f>
        <v>59.565916240281283</v>
      </c>
      <c r="I11" s="48">
        <f ca="1">I24*'P&amp;L'!K$4</f>
        <v>61.352893727489722</v>
      </c>
      <c r="J11" s="48">
        <f ca="1">J24*'P&amp;L'!L$4</f>
        <v>63.193480539314415</v>
      </c>
    </row>
    <row r="12" spans="2:10" ht="14.5" thickTop="1" x14ac:dyDescent="0.3">
      <c r="B12" s="8" t="s">
        <v>88</v>
      </c>
      <c r="C12" s="8">
        <f>SUM(C7:C11)</f>
        <v>932.09999999999991</v>
      </c>
      <c r="D12" s="8">
        <f>SUM(D7:D11)</f>
        <v>947.99999999999989</v>
      </c>
      <c r="E12" s="8">
        <f>SUM(E7:E11)</f>
        <v>1226.8</v>
      </c>
      <c r="F12" s="28">
        <f t="shared" ref="F12:J12" ca="1" si="0">SUM(F7:F11)</f>
        <v>1400.5168795640927</v>
      </c>
      <c r="G12" s="28">
        <f t="shared" ca="1" si="0"/>
        <v>1574.651900338104</v>
      </c>
      <c r="H12" s="28">
        <f t="shared" ca="1" si="0"/>
        <v>1753.6781120839878</v>
      </c>
      <c r="I12" s="28">
        <f t="shared" ca="1" si="0"/>
        <v>1937.6025354628393</v>
      </c>
      <c r="J12" s="28">
        <f ca="1">SUM(J7:J11)</f>
        <v>2126.4196034985148</v>
      </c>
    </row>
    <row r="13" spans="2:10" x14ac:dyDescent="0.25">
      <c r="F13" s="48"/>
      <c r="G13" s="48"/>
      <c r="H13" s="48"/>
      <c r="I13" s="48"/>
      <c r="J13" s="48"/>
    </row>
    <row r="14" spans="2:10" x14ac:dyDescent="0.25">
      <c r="B14" s="23" t="s">
        <v>94</v>
      </c>
      <c r="C14" s="23">
        <f>INDEX('BS 2014'!$1:$1048576,MATCH(BS!$B14,'BS 2014'!$A:$A,0),MATCH(C$6,'BS 2014'!$1:$1,0))</f>
        <v>68</v>
      </c>
      <c r="D14" s="23">
        <f>INDEX('BS 2015'!$1:$1048576,MATCH(BS!$B14,'BS 2015'!$A:$A,0),MATCH(D$6,'BS 2015'!$1:$1,0))</f>
        <v>68.900000000000006</v>
      </c>
      <c r="E14" s="23">
        <f>INDEX('BS 2016'!$1:$1048576,MATCH(BS!$B14,'BS 2016'!$A:$A,0),MATCH(E$6,'BS 2016'!$1:$1,0))</f>
        <v>68.900000000000006</v>
      </c>
      <c r="F14" s="48">
        <f ca="1">-F22*'P&amp;L'!H$5/360</f>
        <v>69.868814266268799</v>
      </c>
      <c r="G14" s="48">
        <f ca="1">-G22*'P&amp;L'!I$5/360</f>
        <v>71.964878694256868</v>
      </c>
      <c r="H14" s="48">
        <f ca="1">-H22*'P&amp;L'!J$5/360</f>
        <v>74.123825055084566</v>
      </c>
      <c r="I14" s="48">
        <f ca="1">-I22*'P&amp;L'!K$5/360</f>
        <v>76.347539806737103</v>
      </c>
      <c r="J14" s="48">
        <f ca="1">-J22*'P&amp;L'!L$5/360</f>
        <v>78.63796600093923</v>
      </c>
    </row>
    <row r="15" spans="2:10" x14ac:dyDescent="0.25">
      <c r="B15" s="23" t="s">
        <v>98</v>
      </c>
      <c r="C15" s="23">
        <f>INDEX('BS 2014'!$1:$1048576,MATCH(BS!$B15,'BS 2014'!$A:$A,0),MATCH(C$6,'BS 2014'!$1:$1,0))</f>
        <v>32.5</v>
      </c>
      <c r="D15" s="23">
        <f>INDEX('BS 2015'!$1:$1048576,MATCH(BS!$B15,'BS 2015'!$A:$A,0),MATCH(D$6,'BS 2015'!$1:$1,0))</f>
        <v>28.699999999999996</v>
      </c>
      <c r="E15" s="23">
        <f>INDEX('BS 2016'!$1:$1048576,MATCH(BS!$B15,'BS 2016'!$A:$A,0),MATCH(E$6,'BS 2016'!$1:$1,0))</f>
        <v>28.699999999999996</v>
      </c>
      <c r="F15" s="48">
        <f>$E$15</f>
        <v>28.699999999999996</v>
      </c>
      <c r="G15" s="48">
        <f t="shared" ref="G15:J15" si="1">$E$15</f>
        <v>28.699999999999996</v>
      </c>
      <c r="H15" s="48">
        <f t="shared" si="1"/>
        <v>28.699999999999996</v>
      </c>
      <c r="I15" s="48">
        <f t="shared" si="1"/>
        <v>28.699999999999996</v>
      </c>
      <c r="J15" s="48">
        <f t="shared" si="1"/>
        <v>28.699999999999996</v>
      </c>
    </row>
    <row r="16" spans="2:10" x14ac:dyDescent="0.25">
      <c r="B16" s="23" t="s">
        <v>100</v>
      </c>
      <c r="C16" s="23">
        <f>INDEX('BS 2014'!$1:$1048576,MATCH(BS!$B16,'BS 2014'!$A:$A,0),MATCH(C$6,'BS 2014'!$1:$1,0))</f>
        <v>615.79999999999995</v>
      </c>
      <c r="D16" s="23">
        <f>INDEX('BS 2015'!$1:$1048576,MATCH(BS!$B16,'BS 2015'!$A:$A,0),MATCH(D$6,'BS 2015'!$1:$1,0))</f>
        <v>610.4</v>
      </c>
      <c r="E16" s="23">
        <f>INDEX('BS 2016'!$1:$1048576,MATCH(BS!$B16,'BS 2016'!$A:$A,0),MATCH(E$6,'BS 2016'!$1:$1,0))</f>
        <v>605</v>
      </c>
      <c r="F16" s="48">
        <f>'Financial Liabilities'!F10</f>
        <v>565.17884560503455</v>
      </c>
      <c r="G16" s="48">
        <f>'Financial Liabilities'!G10</f>
        <v>521.77378731452222</v>
      </c>
      <c r="H16" s="48">
        <f>'Financial Liabilities'!H10</f>
        <v>474.4622737778638</v>
      </c>
      <c r="I16" s="48">
        <f>'Financial Liabilities'!I10</f>
        <v>422.89272402290612</v>
      </c>
      <c r="J16" s="48">
        <f>'Financial Liabilities'!J10</f>
        <v>366.68191479000222</v>
      </c>
    </row>
    <row r="17" spans="2:10" x14ac:dyDescent="0.25">
      <c r="B17" s="23" t="s">
        <v>101</v>
      </c>
      <c r="C17" s="23">
        <f>INDEX('BS 2014'!$1:$1048576,MATCH(BS!$B17,'BS 2014'!$A:$A,0),MATCH(C$6,'BS 2014'!$1:$1,0))</f>
        <v>48.3</v>
      </c>
      <c r="D17" s="23">
        <f>INDEX('BS 2015'!$1:$1048576,MATCH(BS!$B17,'BS 2015'!$A:$A,0),MATCH(D$6,'BS 2015'!$1:$1,0))</f>
        <v>43.3</v>
      </c>
      <c r="E17" s="23">
        <f>INDEX('BS 2016'!$1:$1048576,MATCH(BS!$B17,'BS 2016'!$A:$A,0),MATCH(E$6,'BS 2016'!$1:$1,0))</f>
        <v>38.9</v>
      </c>
      <c r="F17" s="48">
        <f ca="1">F25*'P&amp;L'!H4</f>
        <v>45.75366909990403</v>
      </c>
      <c r="G17" s="48">
        <f ca="1">G25*'P&amp;L'!I4</f>
        <v>47.12627917290115</v>
      </c>
      <c r="H17" s="48">
        <f ca="1">H25*'P&amp;L'!J4</f>
        <v>48.540067548088189</v>
      </c>
      <c r="I17" s="48">
        <f ca="1">I25*'P&amp;L'!K4</f>
        <v>49.996269574530835</v>
      </c>
      <c r="J17" s="48">
        <f ca="1">J25*'P&amp;L'!L4</f>
        <v>51.496157661766766</v>
      </c>
    </row>
    <row r="18" spans="2:10" ht="12" thickBot="1" x14ac:dyDescent="0.3">
      <c r="B18" s="23" t="s">
        <v>105</v>
      </c>
      <c r="C18" s="23">
        <f>INDEX('BS 2014'!$1:$1048576,MATCH(BS!$B18,'BS 2014'!$A:$A,0),MATCH(C$6,'BS 2014'!$1:$1,0))</f>
        <v>167.50000000000003</v>
      </c>
      <c r="D18" s="23">
        <f>INDEX('BS 2015'!$1:$1048576,MATCH(BS!$B18,'BS 2015'!$A:$A,0),MATCH(D$6,'BS 2015'!$1:$1,0))</f>
        <v>196.7</v>
      </c>
      <c r="E18" s="23">
        <f>INDEX('BS 2016'!$1:$1048576,MATCH(BS!$B18,'BS 2016'!$A:$A,0),MATCH(E$6,'BS 2016'!$1:$1,0))</f>
        <v>485.3</v>
      </c>
      <c r="F18" s="48">
        <f ca="1">'Equity Schedule'!F11</f>
        <v>691.01555059288535</v>
      </c>
      <c r="G18" s="48">
        <f ca="1">'Equity Schedule'!G11</f>
        <v>905.08695515642376</v>
      </c>
      <c r="H18" s="48">
        <f ca="1">'Equity Schedule'!H11</f>
        <v>1127.8519457029515</v>
      </c>
      <c r="I18" s="48">
        <f ca="1">'Equity Schedule'!I11</f>
        <v>1359.6660020586651</v>
      </c>
      <c r="J18" s="48">
        <f ca="1">'Equity Schedule'!J11</f>
        <v>1600.9035650458065</v>
      </c>
    </row>
    <row r="19" spans="2:10" ht="14.5" thickTop="1" x14ac:dyDescent="0.3">
      <c r="B19" s="8" t="s">
        <v>106</v>
      </c>
      <c r="C19" s="8">
        <f>SUM(C14:C18)</f>
        <v>932.09999999999991</v>
      </c>
      <c r="D19" s="8">
        <f t="shared" ref="D19:I19" si="2">SUM(D14:D18)</f>
        <v>948</v>
      </c>
      <c r="E19" s="8">
        <f t="shared" si="2"/>
        <v>1226.8</v>
      </c>
      <c r="F19" s="28">
        <f t="shared" ca="1" si="2"/>
        <v>1400.5168795640927</v>
      </c>
      <c r="G19" s="28">
        <f t="shared" ca="1" si="2"/>
        <v>1574.651900338104</v>
      </c>
      <c r="H19" s="28">
        <f t="shared" ca="1" si="2"/>
        <v>1753.678112083988</v>
      </c>
      <c r="I19" s="28">
        <f t="shared" ca="1" si="2"/>
        <v>1937.6025354628391</v>
      </c>
      <c r="J19" s="28">
        <f ca="1">SUM(J14:J18)</f>
        <v>2126.4196034985148</v>
      </c>
    </row>
    <row r="21" spans="2:10" x14ac:dyDescent="0.25">
      <c r="B21" s="43" t="s">
        <v>131</v>
      </c>
      <c r="C21" s="44">
        <f>(C7/'P&amp;L'!B4)*360</f>
        <v>17.728952772073921</v>
      </c>
      <c r="D21" s="44">
        <f>(D7/'P&amp;L'!C4)*360</f>
        <v>18.675603217158177</v>
      </c>
      <c r="E21" s="44">
        <f>(E7/'P&amp;L'!D4)*360</f>
        <v>20.048684210526318</v>
      </c>
      <c r="F21" s="44">
        <f>AVERAGE($C21:$E21)</f>
        <v>18.817746733252804</v>
      </c>
      <c r="G21" s="44">
        <f t="shared" ref="G21:J21" si="3">AVERAGE($C21:$E21)</f>
        <v>18.817746733252804</v>
      </c>
      <c r="H21" s="44">
        <f t="shared" si="3"/>
        <v>18.817746733252804</v>
      </c>
      <c r="I21" s="44">
        <f t="shared" si="3"/>
        <v>18.817746733252804</v>
      </c>
      <c r="J21" s="44">
        <f t="shared" si="3"/>
        <v>18.817746733252804</v>
      </c>
    </row>
    <row r="22" spans="2:10" x14ac:dyDescent="0.25">
      <c r="B22" s="43" t="s">
        <v>132</v>
      </c>
      <c r="C22" s="44">
        <f>-1*(C14/'P&amp;L'!B$5)*360</f>
        <v>17.473233404710921</v>
      </c>
      <c r="D22" s="44">
        <f>-1*(D14/'P&amp;L'!C$5)*360</f>
        <v>17.934924078091107</v>
      </c>
      <c r="E22" s="44">
        <f>-1*(E14/'P&amp;L'!D$5)*360</f>
        <v>18.144842721287493</v>
      </c>
      <c r="F22" s="44">
        <f t="shared" ref="F22:J25" si="4">AVERAGE($C22:$E22)</f>
        <v>17.851000068029837</v>
      </c>
      <c r="G22" s="44">
        <f t="shared" si="4"/>
        <v>17.851000068029837</v>
      </c>
      <c r="H22" s="44">
        <f t="shared" si="4"/>
        <v>17.851000068029837</v>
      </c>
      <c r="I22" s="44">
        <f t="shared" si="4"/>
        <v>17.851000068029837</v>
      </c>
      <c r="J22" s="44">
        <f t="shared" si="4"/>
        <v>17.851000068029837</v>
      </c>
    </row>
    <row r="23" spans="2:10" x14ac:dyDescent="0.25">
      <c r="B23" s="43" t="s">
        <v>133</v>
      </c>
      <c r="C23" s="44">
        <f>-1*(C8/'P&amp;L'!B$5)*360</f>
        <v>21.841541755888645</v>
      </c>
      <c r="D23" s="44">
        <f>-1*(D8/'P&amp;L'!C$5)*360</f>
        <v>23.94793926247289</v>
      </c>
      <c r="E23" s="44">
        <f>-1*(E8/'P&amp;L'!D$5)*360</f>
        <v>28.96854425749817</v>
      </c>
      <c r="F23" s="44">
        <f t="shared" si="4"/>
        <v>24.919341758619904</v>
      </c>
      <c r="G23" s="44">
        <f t="shared" si="4"/>
        <v>24.919341758619904</v>
      </c>
      <c r="H23" s="44">
        <f t="shared" si="4"/>
        <v>24.919341758619904</v>
      </c>
      <c r="I23" s="44">
        <f t="shared" si="4"/>
        <v>24.919341758619904</v>
      </c>
      <c r="J23" s="44">
        <f t="shared" si="4"/>
        <v>24.919341758619904</v>
      </c>
    </row>
    <row r="24" spans="2:10" x14ac:dyDescent="0.25">
      <c r="B24" s="43" t="s">
        <v>134</v>
      </c>
      <c r="C24" s="45">
        <f>(C11/'P&amp;L'!B$4)</f>
        <v>1.5708418891170431E-2</v>
      </c>
      <c r="D24" s="45">
        <f>(D11/'P&amp;L'!C$4)</f>
        <v>1.5717158176943698E-2</v>
      </c>
      <c r="E24" s="45">
        <f>(E11/'P&amp;L'!D$4)</f>
        <v>2.2368421052631579E-2</v>
      </c>
      <c r="F24" s="45">
        <f t="shared" si="4"/>
        <v>1.7931332706915236E-2</v>
      </c>
      <c r="G24" s="45">
        <f t="shared" si="4"/>
        <v>1.7931332706915236E-2</v>
      </c>
      <c r="H24" s="45">
        <f t="shared" si="4"/>
        <v>1.7931332706915236E-2</v>
      </c>
      <c r="I24" s="45">
        <f t="shared" si="4"/>
        <v>1.7931332706915236E-2</v>
      </c>
      <c r="J24" s="45">
        <f t="shared" si="4"/>
        <v>1.7931332706915236E-2</v>
      </c>
    </row>
    <row r="25" spans="2:10" x14ac:dyDescent="0.25">
      <c r="B25" s="43" t="s">
        <v>135</v>
      </c>
      <c r="C25" s="45">
        <f>C17/'P&amp;L'!B$4</f>
        <v>1.6529774127310062E-2</v>
      </c>
      <c r="D25" s="45">
        <f>D17/'P&amp;L'!C$4</f>
        <v>1.4510723860589811E-2</v>
      </c>
      <c r="E25" s="45">
        <f>E17/'P&amp;L'!D$4</f>
        <v>1.2796052631578948E-2</v>
      </c>
      <c r="F25" s="45">
        <f t="shared" si="4"/>
        <v>1.4612183539826273E-2</v>
      </c>
      <c r="G25" s="45">
        <f t="shared" si="4"/>
        <v>1.4612183539826273E-2</v>
      </c>
      <c r="H25" s="45">
        <f t="shared" si="4"/>
        <v>1.4612183539826273E-2</v>
      </c>
      <c r="I25" s="45">
        <f t="shared" si="4"/>
        <v>1.4612183539826273E-2</v>
      </c>
      <c r="J25" s="45">
        <f t="shared" si="4"/>
        <v>1.4612183539826273E-2</v>
      </c>
    </row>
    <row r="26" spans="2:10" x14ac:dyDescent="0.25">
      <c r="B26" s="43"/>
      <c r="C26" s="43"/>
      <c r="D26" s="43"/>
      <c r="E26" s="43"/>
      <c r="F26" s="43"/>
      <c r="G26" s="43"/>
      <c r="H26" s="43"/>
      <c r="I26" s="43"/>
      <c r="J26" s="43"/>
    </row>
    <row r="27" spans="2:10" x14ac:dyDescent="0.25">
      <c r="B27" s="43"/>
      <c r="C27" s="43"/>
      <c r="D27" s="43"/>
      <c r="E27" s="43"/>
      <c r="F27" s="43"/>
      <c r="G27" s="43"/>
      <c r="H27" s="43"/>
      <c r="I27" s="43"/>
      <c r="J27" s="43"/>
    </row>
    <row r="29" spans="2:10" ht="14.5" x14ac:dyDescent="0.35">
      <c r="B29" s="26" t="s">
        <v>119</v>
      </c>
      <c r="C29" s="26">
        <f>C19-C12</f>
        <v>0</v>
      </c>
      <c r="D29" s="26">
        <f>D19-D12</f>
        <v>0</v>
      </c>
      <c r="E29" s="26">
        <f>E19-E12</f>
        <v>0</v>
      </c>
      <c r="F29" s="26">
        <f t="shared" ref="F29:J29" ca="1" si="5">F19-F12</f>
        <v>0</v>
      </c>
      <c r="G29" s="26">
        <f t="shared" ca="1" si="5"/>
        <v>0</v>
      </c>
      <c r="H29" s="26">
        <f t="shared" ca="1" si="5"/>
        <v>0</v>
      </c>
      <c r="I29" s="26">
        <f t="shared" ca="1" si="5"/>
        <v>0</v>
      </c>
      <c r="J29" s="26">
        <f t="shared" ca="1" si="5"/>
        <v>0</v>
      </c>
    </row>
  </sheetData>
  <mergeCells count="1">
    <mergeCell ref="F4:J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5ADB7-57EF-46AE-8EAD-66A25EFAFE88}">
  <dimension ref="B2:J16"/>
  <sheetViews>
    <sheetView topLeftCell="A2" workbookViewId="0">
      <selection activeCell="B6" sqref="B6"/>
    </sheetView>
  </sheetViews>
  <sheetFormatPr defaultRowHeight="12" x14ac:dyDescent="0.3"/>
  <cols>
    <col min="1" max="1" width="3.6328125" style="49" customWidth="1"/>
    <col min="2" max="2" width="23.7265625" style="49" bestFit="1" customWidth="1"/>
    <col min="3" max="10" width="9.1796875" style="49" bestFit="1" customWidth="1"/>
    <col min="11" max="16384" width="8.7265625" style="49"/>
  </cols>
  <sheetData>
    <row r="2" spans="2:10" ht="14.5" x14ac:dyDescent="0.35">
      <c r="B2" s="41" t="s">
        <v>136</v>
      </c>
    </row>
    <row r="4" spans="2:10" x14ac:dyDescent="0.3">
      <c r="B4" s="23"/>
      <c r="C4" s="23"/>
      <c r="D4" s="23"/>
      <c r="E4" s="23"/>
      <c r="F4" s="29" t="s">
        <v>121</v>
      </c>
      <c r="G4" s="29"/>
      <c r="H4" s="29"/>
      <c r="I4" s="29"/>
      <c r="J4" s="29"/>
    </row>
    <row r="5" spans="2:10" x14ac:dyDescent="0.3">
      <c r="B5" s="23"/>
      <c r="C5" s="23"/>
      <c r="D5" s="23"/>
      <c r="E5" s="23"/>
      <c r="F5" s="23"/>
      <c r="G5" s="23"/>
      <c r="H5" s="23"/>
      <c r="I5" s="23"/>
      <c r="J5" s="23"/>
    </row>
    <row r="6" spans="2:10" ht="14.5" x14ac:dyDescent="0.35">
      <c r="B6" s="7" t="s">
        <v>62</v>
      </c>
      <c r="C6" s="25">
        <v>42004</v>
      </c>
      <c r="D6" s="25">
        <v>42369</v>
      </c>
      <c r="E6" s="25">
        <v>42735</v>
      </c>
      <c r="F6" s="25">
        <v>43100</v>
      </c>
      <c r="G6" s="25">
        <v>43465</v>
      </c>
      <c r="H6" s="25">
        <v>43830</v>
      </c>
      <c r="I6" s="25">
        <v>44196</v>
      </c>
      <c r="J6" s="25">
        <v>44561</v>
      </c>
    </row>
    <row r="7" spans="2:10" x14ac:dyDescent="0.3">
      <c r="B7" s="23" t="s">
        <v>137</v>
      </c>
      <c r="C7" s="23"/>
      <c r="D7" s="23">
        <v>632.5</v>
      </c>
      <c r="E7" s="23">
        <f>D10</f>
        <v>632.5</v>
      </c>
      <c r="F7" s="48">
        <f>E10</f>
        <v>659.5</v>
      </c>
      <c r="G7" s="48">
        <f t="shared" ref="G7:J7" si="0">F10</f>
        <v>673.57628458498027</v>
      </c>
      <c r="H7" s="48">
        <f t="shared" si="0"/>
        <v>687.95301160774272</v>
      </c>
      <c r="I7" s="48">
        <f t="shared" si="0"/>
        <v>702.6365936736787</v>
      </c>
      <c r="J7" s="48">
        <f t="shared" si="0"/>
        <v>717.63358025801801</v>
      </c>
    </row>
    <row r="8" spans="2:10" x14ac:dyDescent="0.3">
      <c r="B8" s="23" t="s">
        <v>12</v>
      </c>
      <c r="C8" s="23"/>
      <c r="D8" s="23">
        <f>'P&amp;L'!C9</f>
        <v>-44</v>
      </c>
      <c r="E8" s="23">
        <f>'P&amp;L'!D9</f>
        <v>-41</v>
      </c>
      <c r="F8" s="48">
        <f>-F$7*F12</f>
        <v>-44.314229249011859</v>
      </c>
      <c r="G8" s="48">
        <f>-G$7*G12</f>
        <v>-45.260066553140966</v>
      </c>
      <c r="H8" s="48">
        <f>-H$7*H12</f>
        <v>-46.22609168905781</v>
      </c>
      <c r="I8" s="48">
        <f>-I$7*I12</f>
        <v>-47.212735543290663</v>
      </c>
      <c r="J8" s="48">
        <f>-J$7*J12</f>
        <v>-48.22043819915536</v>
      </c>
    </row>
    <row r="9" spans="2:10" ht="12.5" thickBot="1" x14ac:dyDescent="0.35">
      <c r="B9" s="23" t="s">
        <v>138</v>
      </c>
      <c r="C9" s="23"/>
      <c r="D9" s="23">
        <f>D10-D8-D7</f>
        <v>44</v>
      </c>
      <c r="E9" s="23">
        <f>E10-E8-E7</f>
        <v>68</v>
      </c>
      <c r="F9" s="48">
        <f>F$7*F13</f>
        <v>58.390513833992095</v>
      </c>
      <c r="G9" s="48">
        <f t="shared" ref="G9:J9" si="1">G$7*G13</f>
        <v>59.63679357590339</v>
      </c>
      <c r="H9" s="48">
        <f t="shared" si="1"/>
        <v>60.909673754993825</v>
      </c>
      <c r="I9" s="48">
        <f t="shared" si="1"/>
        <v>62.209722127630052</v>
      </c>
      <c r="J9" s="48">
        <f t="shared" si="1"/>
        <v>63.537518568298829</v>
      </c>
    </row>
    <row r="10" spans="2:10" ht="12.5" thickTop="1" x14ac:dyDescent="0.3">
      <c r="B10" s="50" t="s">
        <v>139</v>
      </c>
      <c r="C10" s="50">
        <f>SUM(C7:C9)</f>
        <v>0</v>
      </c>
      <c r="D10" s="50">
        <v>632.5</v>
      </c>
      <c r="E10" s="50">
        <f>BS!E9</f>
        <v>659.5</v>
      </c>
      <c r="F10" s="55">
        <f t="shared" ref="D10:J10" si="2">SUM(F7:F9)</f>
        <v>673.57628458498027</v>
      </c>
      <c r="G10" s="55">
        <f t="shared" si="2"/>
        <v>687.95301160774272</v>
      </c>
      <c r="H10" s="55">
        <f t="shared" si="2"/>
        <v>702.6365936736787</v>
      </c>
      <c r="I10" s="55">
        <f t="shared" si="2"/>
        <v>717.63358025801801</v>
      </c>
      <c r="J10" s="55">
        <f t="shared" si="2"/>
        <v>732.95066062716148</v>
      </c>
    </row>
    <row r="11" spans="2:10" x14ac:dyDescent="0.3">
      <c r="B11" s="23"/>
    </row>
    <row r="12" spans="2:10" x14ac:dyDescent="0.3">
      <c r="B12" s="52" t="s">
        <v>140</v>
      </c>
      <c r="C12" s="52"/>
      <c r="D12" s="53">
        <f>-D8/D7</f>
        <v>6.9565217391304349E-2</v>
      </c>
      <c r="E12" s="53">
        <f>-E8/E7</f>
        <v>6.4822134387351779E-2</v>
      </c>
      <c r="F12" s="54">
        <f>AVERAGE($D12:$E12)</f>
        <v>6.7193675889328064E-2</v>
      </c>
      <c r="G12" s="54">
        <f t="shared" ref="G12:K13" si="3">AVERAGE($D12:$E12)</f>
        <v>6.7193675889328064E-2</v>
      </c>
      <c r="H12" s="54">
        <f t="shared" si="3"/>
        <v>6.7193675889328064E-2</v>
      </c>
      <c r="I12" s="54">
        <f t="shared" si="3"/>
        <v>6.7193675889328064E-2</v>
      </c>
      <c r="J12" s="54">
        <f t="shared" si="3"/>
        <v>6.7193675889328064E-2</v>
      </c>
    </row>
    <row r="13" spans="2:10" x14ac:dyDescent="0.3">
      <c r="B13" s="52" t="s">
        <v>141</v>
      </c>
      <c r="C13" s="52"/>
      <c r="D13" s="53">
        <f>D9/D7</f>
        <v>6.9565217391304349E-2</v>
      </c>
      <c r="E13" s="53">
        <f>E9/E7</f>
        <v>0.10750988142292491</v>
      </c>
      <c r="F13" s="54">
        <f>AVERAGE($D13:$E13)</f>
        <v>8.8537549407114627E-2</v>
      </c>
      <c r="G13" s="54">
        <f t="shared" si="3"/>
        <v>8.8537549407114627E-2</v>
      </c>
      <c r="H13" s="54">
        <f t="shared" si="3"/>
        <v>8.8537549407114627E-2</v>
      </c>
      <c r="I13" s="54">
        <f t="shared" si="3"/>
        <v>8.8537549407114627E-2</v>
      </c>
      <c r="J13" s="54">
        <f t="shared" si="3"/>
        <v>8.8537549407114627E-2</v>
      </c>
    </row>
    <row r="14" spans="2:10" x14ac:dyDescent="0.3">
      <c r="B14" s="23"/>
      <c r="C14" s="23"/>
      <c r="D14" s="23"/>
      <c r="E14" s="23"/>
      <c r="F14" s="23"/>
      <c r="G14" s="23"/>
      <c r="H14" s="23"/>
      <c r="I14" s="23"/>
      <c r="J14" s="23"/>
    </row>
    <row r="15" spans="2:10" x14ac:dyDescent="0.3">
      <c r="B15" s="23"/>
      <c r="C15" s="23"/>
      <c r="D15" s="23"/>
      <c r="E15" s="23"/>
      <c r="F15" s="23"/>
      <c r="G15" s="23"/>
      <c r="H15" s="23"/>
      <c r="I15" s="23"/>
      <c r="J15" s="23"/>
    </row>
    <row r="16" spans="2:10" x14ac:dyDescent="0.3">
      <c r="B16" s="23"/>
      <c r="C16" s="23"/>
      <c r="D16" s="23"/>
      <c r="E16" s="23"/>
      <c r="F16" s="23"/>
      <c r="G16" s="23"/>
      <c r="H16" s="23"/>
      <c r="I16" s="23"/>
      <c r="J16" s="23"/>
    </row>
  </sheetData>
  <mergeCells count="1">
    <mergeCell ref="F4:J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FF755-6195-4C44-8B16-2334DBB2CDA4}">
  <dimension ref="B2:L20"/>
  <sheetViews>
    <sheetView topLeftCell="A6" workbookViewId="0">
      <selection activeCell="F10" sqref="F10"/>
    </sheetView>
  </sheetViews>
  <sheetFormatPr defaultRowHeight="12" x14ac:dyDescent="0.3"/>
  <cols>
    <col min="1" max="1" width="3.6328125" style="49" customWidth="1"/>
    <col min="2" max="2" width="23.7265625" style="49" bestFit="1" customWidth="1"/>
    <col min="3" max="10" width="9.1796875" style="49" bestFit="1" customWidth="1"/>
    <col min="11" max="16384" width="8.7265625" style="49"/>
  </cols>
  <sheetData>
    <row r="2" spans="2:12" ht="14.5" x14ac:dyDescent="0.35">
      <c r="B2" s="41" t="s">
        <v>100</v>
      </c>
    </row>
    <row r="4" spans="2:12" x14ac:dyDescent="0.3">
      <c r="B4" s="23"/>
      <c r="C4" s="23"/>
      <c r="D4" s="23"/>
      <c r="E4" s="23"/>
      <c r="F4" s="29" t="s">
        <v>121</v>
      </c>
      <c r="G4" s="29"/>
      <c r="H4" s="29"/>
      <c r="I4" s="29"/>
      <c r="J4" s="29"/>
    </row>
    <row r="5" spans="2:12" x14ac:dyDescent="0.3">
      <c r="B5" s="23"/>
      <c r="C5" s="23"/>
      <c r="D5" s="23"/>
      <c r="E5" s="23"/>
      <c r="F5" s="23"/>
      <c r="G5" s="23"/>
      <c r="H5" s="23"/>
      <c r="I5" s="23"/>
      <c r="J5" s="23"/>
    </row>
    <row r="6" spans="2:12" ht="14.5" x14ac:dyDescent="0.35">
      <c r="B6" s="7" t="s">
        <v>62</v>
      </c>
      <c r="C6" s="25">
        <v>42004</v>
      </c>
      <c r="D6" s="25">
        <v>42369</v>
      </c>
      <c r="E6" s="25">
        <v>42735</v>
      </c>
      <c r="F6" s="25">
        <v>43100</v>
      </c>
      <c r="G6" s="25">
        <v>43465</v>
      </c>
      <c r="H6" s="25">
        <v>43830</v>
      </c>
      <c r="I6" s="25">
        <v>44196</v>
      </c>
      <c r="J6" s="25">
        <v>44561</v>
      </c>
    </row>
    <row r="7" spans="2:12" x14ac:dyDescent="0.3">
      <c r="B7" s="23" t="s">
        <v>142</v>
      </c>
      <c r="C7" s="57"/>
      <c r="D7" s="23">
        <f>C10</f>
        <v>615.79999999999995</v>
      </c>
      <c r="E7" s="23">
        <f>D10</f>
        <v>610.4</v>
      </c>
      <c r="F7" s="23">
        <f>E10</f>
        <v>605</v>
      </c>
      <c r="G7" s="23">
        <f t="shared" ref="G7:J7" si="0">F10</f>
        <v>565.17884560503455</v>
      </c>
      <c r="H7" s="23">
        <f t="shared" si="0"/>
        <v>521.77378731452222</v>
      </c>
      <c r="I7" s="23">
        <f t="shared" si="0"/>
        <v>474.4622737778638</v>
      </c>
      <c r="J7" s="23">
        <f t="shared" si="0"/>
        <v>422.89272402290612</v>
      </c>
    </row>
    <row r="8" spans="2:12" x14ac:dyDescent="0.3">
      <c r="B8" s="23" t="s">
        <v>143</v>
      </c>
      <c r="C8" s="57"/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</row>
    <row r="9" spans="2:12" ht="12.5" thickBot="1" x14ac:dyDescent="0.35">
      <c r="B9" s="23" t="s">
        <v>144</v>
      </c>
      <c r="C9" s="57"/>
      <c r="D9" s="23">
        <f>D10-D7</f>
        <v>-5.3999999999999773</v>
      </c>
      <c r="E9" s="23">
        <f>E10-E7</f>
        <v>-5.3999999999999773</v>
      </c>
      <c r="F9" s="48">
        <f>C19</f>
        <v>-39.82115439496544</v>
      </c>
      <c r="G9" s="48">
        <f t="shared" ref="G9:J9" si="1">D19</f>
        <v>-43.405058290512329</v>
      </c>
      <c r="H9" s="48">
        <f t="shared" si="1"/>
        <v>-47.311513536658438</v>
      </c>
      <c r="I9" s="48">
        <f t="shared" si="1"/>
        <v>-51.569549754957698</v>
      </c>
      <c r="J9" s="48">
        <f t="shared" si="1"/>
        <v>-56.210809232903884</v>
      </c>
    </row>
    <row r="10" spans="2:12" ht="12.5" thickTop="1" x14ac:dyDescent="0.3">
      <c r="B10" s="50" t="s">
        <v>145</v>
      </c>
      <c r="C10" s="50">
        <f>BS!C16</f>
        <v>615.79999999999995</v>
      </c>
      <c r="D10" s="50">
        <f>BS!D16</f>
        <v>610.4</v>
      </c>
      <c r="E10" s="50">
        <f>BS!E16</f>
        <v>605</v>
      </c>
      <c r="F10" s="55">
        <f>SUM(F7:F9)</f>
        <v>565.17884560503455</v>
      </c>
      <c r="G10" s="55">
        <f t="shared" ref="G10:J10" si="2">SUM(G7:G9)</f>
        <v>521.77378731452222</v>
      </c>
      <c r="H10" s="55">
        <f t="shared" si="2"/>
        <v>474.4622737778638</v>
      </c>
      <c r="I10" s="55">
        <f t="shared" si="2"/>
        <v>422.89272402290612</v>
      </c>
      <c r="J10" s="55">
        <f t="shared" si="2"/>
        <v>366.68191479000222</v>
      </c>
    </row>
    <row r="11" spans="2:12" x14ac:dyDescent="0.3">
      <c r="B11" s="23"/>
    </row>
    <row r="12" spans="2:12" x14ac:dyDescent="0.3">
      <c r="B12" s="23" t="s">
        <v>146</v>
      </c>
      <c r="C12" s="23">
        <v>10</v>
      </c>
      <c r="D12" s="51"/>
      <c r="E12" s="51"/>
      <c r="F12" s="56"/>
      <c r="G12" s="56"/>
      <c r="H12" s="56"/>
      <c r="I12" s="56"/>
      <c r="J12" s="56"/>
    </row>
    <row r="13" spans="2:12" x14ac:dyDescent="0.3">
      <c r="B13" s="23" t="s">
        <v>147</v>
      </c>
      <c r="C13" s="58">
        <v>0.09</v>
      </c>
      <c r="D13" s="51"/>
      <c r="E13" s="51"/>
      <c r="F13" s="56"/>
      <c r="G13" s="56"/>
      <c r="H13" s="56"/>
      <c r="I13" s="56"/>
      <c r="J13" s="56"/>
    </row>
    <row r="14" spans="2:12" x14ac:dyDescent="0.3">
      <c r="B14" s="23" t="s">
        <v>148</v>
      </c>
      <c r="C14" s="47">
        <f>PMT(C13,C12,E10)</f>
        <v>-94.271154394965436</v>
      </c>
      <c r="D14" s="23"/>
      <c r="E14" s="23"/>
      <c r="F14" s="23"/>
      <c r="G14" s="23"/>
      <c r="H14" s="23"/>
      <c r="I14" s="23"/>
      <c r="J14" s="23"/>
    </row>
    <row r="15" spans="2:12" x14ac:dyDescent="0.3">
      <c r="B15" s="23"/>
      <c r="C15" s="23"/>
      <c r="D15" s="23"/>
      <c r="E15" s="23"/>
      <c r="F15" s="23"/>
      <c r="G15" s="23"/>
      <c r="H15" s="23"/>
      <c r="I15" s="23"/>
      <c r="J15" s="23"/>
    </row>
    <row r="16" spans="2:12" x14ac:dyDescent="0.3">
      <c r="B16" s="59" t="s">
        <v>149</v>
      </c>
      <c r="C16" s="59">
        <v>1</v>
      </c>
      <c r="D16" s="59">
        <v>2</v>
      </c>
      <c r="E16" s="59">
        <v>3</v>
      </c>
      <c r="F16" s="59">
        <v>4</v>
      </c>
      <c r="G16" s="59">
        <v>5</v>
      </c>
      <c r="H16" s="59">
        <v>6</v>
      </c>
      <c r="I16" s="59">
        <v>7</v>
      </c>
      <c r="J16" s="59">
        <v>8</v>
      </c>
      <c r="K16" s="59">
        <v>9</v>
      </c>
      <c r="L16" s="59">
        <v>10</v>
      </c>
    </row>
    <row r="17" spans="2:12" x14ac:dyDescent="0.3">
      <c r="B17" s="23" t="s">
        <v>150</v>
      </c>
      <c r="C17" s="48">
        <f>$C$14</f>
        <v>-94.271154394965436</v>
      </c>
      <c r="D17" s="48">
        <f t="shared" ref="D17:L17" si="3">$C$14</f>
        <v>-94.271154394965436</v>
      </c>
      <c r="E17" s="48">
        <f t="shared" si="3"/>
        <v>-94.271154394965436</v>
      </c>
      <c r="F17" s="48">
        <f t="shared" si="3"/>
        <v>-94.271154394965436</v>
      </c>
      <c r="G17" s="48">
        <f t="shared" si="3"/>
        <v>-94.271154394965436</v>
      </c>
      <c r="H17" s="48">
        <f t="shared" si="3"/>
        <v>-94.271154394965436</v>
      </c>
      <c r="I17" s="48">
        <f t="shared" si="3"/>
        <v>-94.271154394965436</v>
      </c>
      <c r="J17" s="48">
        <f t="shared" si="3"/>
        <v>-94.271154394965436</v>
      </c>
      <c r="K17" s="48">
        <f t="shared" si="3"/>
        <v>-94.271154394965436</v>
      </c>
      <c r="L17" s="48">
        <f t="shared" si="3"/>
        <v>-94.271154394965436</v>
      </c>
    </row>
    <row r="18" spans="2:12" x14ac:dyDescent="0.3">
      <c r="B18" s="23" t="s">
        <v>151</v>
      </c>
      <c r="C18" s="48">
        <f>-C13*E10</f>
        <v>-54.449999999999996</v>
      </c>
      <c r="D18" s="48">
        <f>-C20*$C$13</f>
        <v>-50.866096104453106</v>
      </c>
      <c r="E18" s="48">
        <f t="shared" ref="E18:L18" si="4">-D20*$C$13</f>
        <v>-46.959640858306997</v>
      </c>
      <c r="F18" s="48">
        <f t="shared" si="4"/>
        <v>-42.701604640007737</v>
      </c>
      <c r="G18" s="48">
        <f t="shared" si="4"/>
        <v>-38.060345162061552</v>
      </c>
      <c r="H18" s="48">
        <f t="shared" si="4"/>
        <v>-33.0013723311002</v>
      </c>
      <c r="I18" s="48">
        <f t="shared" si="4"/>
        <v>-27.487091945352326</v>
      </c>
      <c r="J18" s="48">
        <f t="shared" si="4"/>
        <v>-21.476526324887146</v>
      </c>
      <c r="K18" s="48">
        <f t="shared" si="4"/>
        <v>-14.925009798580101</v>
      </c>
      <c r="L18" s="48">
        <f t="shared" si="4"/>
        <v>-7.7838567849054208</v>
      </c>
    </row>
    <row r="19" spans="2:12" x14ac:dyDescent="0.3">
      <c r="B19" s="23" t="s">
        <v>152</v>
      </c>
      <c r="C19" s="48">
        <f>C17-C18</f>
        <v>-39.82115439496544</v>
      </c>
      <c r="D19" s="48">
        <f t="shared" ref="D19:K19" si="5">D17-D18</f>
        <v>-43.405058290512329</v>
      </c>
      <c r="E19" s="48">
        <f t="shared" si="5"/>
        <v>-47.311513536658438</v>
      </c>
      <c r="F19" s="48">
        <f t="shared" si="5"/>
        <v>-51.569549754957698</v>
      </c>
      <c r="G19" s="48">
        <f t="shared" si="5"/>
        <v>-56.210809232903884</v>
      </c>
      <c r="H19" s="48">
        <f t="shared" si="5"/>
        <v>-61.269782063865236</v>
      </c>
      <c r="I19" s="48">
        <f t="shared" si="5"/>
        <v>-66.784062449613117</v>
      </c>
      <c r="J19" s="48">
        <f t="shared" si="5"/>
        <v>-72.794628070078289</v>
      </c>
      <c r="K19" s="48">
        <f t="shared" si="5"/>
        <v>-79.346144596385329</v>
      </c>
      <c r="L19" s="48">
        <f>L17-L18</f>
        <v>-86.487297610060011</v>
      </c>
    </row>
    <row r="20" spans="2:12" x14ac:dyDescent="0.3">
      <c r="B20" s="23" t="s">
        <v>153</v>
      </c>
      <c r="C20" s="48">
        <f>E10+C19</f>
        <v>565.17884560503455</v>
      </c>
      <c r="D20" s="48">
        <f>C20+D19</f>
        <v>521.77378731452222</v>
      </c>
      <c r="E20" s="48">
        <f t="shared" ref="E20:L20" si="6">D20+E19</f>
        <v>474.4622737778638</v>
      </c>
      <c r="F20" s="48">
        <f t="shared" si="6"/>
        <v>422.89272402290612</v>
      </c>
      <c r="G20" s="48">
        <f t="shared" si="6"/>
        <v>366.68191479000222</v>
      </c>
      <c r="H20" s="48">
        <f t="shared" si="6"/>
        <v>305.41213272613697</v>
      </c>
      <c r="I20" s="48">
        <f t="shared" si="6"/>
        <v>238.62807027652386</v>
      </c>
      <c r="J20" s="48">
        <f t="shared" si="6"/>
        <v>165.83344220644557</v>
      </c>
      <c r="K20" s="48">
        <f t="shared" si="6"/>
        <v>86.487297610060239</v>
      </c>
      <c r="L20" s="48">
        <f t="shared" si="6"/>
        <v>2.2737367544323206E-13</v>
      </c>
    </row>
  </sheetData>
  <mergeCells count="1">
    <mergeCell ref="F4:J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5CF85-162D-4678-92EB-AC36FB82339D}">
  <dimension ref="B2:J16"/>
  <sheetViews>
    <sheetView workbookViewId="0">
      <selection activeCell="F4" sqref="F4:J4"/>
    </sheetView>
  </sheetViews>
  <sheetFormatPr defaultRowHeight="12" x14ac:dyDescent="0.3"/>
  <cols>
    <col min="1" max="1" width="3.6328125" style="49" customWidth="1"/>
    <col min="2" max="2" width="23.7265625" style="49" bestFit="1" customWidth="1"/>
    <col min="3" max="10" width="9.1796875" style="49" bestFit="1" customWidth="1"/>
    <col min="11" max="16384" width="8.7265625" style="49"/>
  </cols>
  <sheetData>
    <row r="2" spans="2:10" ht="14.5" x14ac:dyDescent="0.35">
      <c r="B2" s="41" t="s">
        <v>156</v>
      </c>
    </row>
    <row r="4" spans="2:10" x14ac:dyDescent="0.3">
      <c r="B4" s="23"/>
      <c r="C4" s="23"/>
      <c r="D4" s="23"/>
      <c r="E4" s="23"/>
      <c r="F4" s="29" t="s">
        <v>121</v>
      </c>
      <c r="G4" s="29"/>
      <c r="H4" s="29"/>
      <c r="I4" s="29"/>
      <c r="J4" s="29"/>
    </row>
    <row r="5" spans="2:10" x14ac:dyDescent="0.3">
      <c r="B5" s="23"/>
      <c r="C5" s="23"/>
      <c r="D5" s="23"/>
      <c r="E5" s="23"/>
      <c r="F5" s="23"/>
      <c r="G5" s="23"/>
      <c r="H5" s="23"/>
      <c r="I5" s="23"/>
      <c r="J5" s="23"/>
    </row>
    <row r="6" spans="2:10" ht="14.5" x14ac:dyDescent="0.35">
      <c r="B6" s="7" t="s">
        <v>62</v>
      </c>
      <c r="C6" s="25">
        <v>42004</v>
      </c>
      <c r="D6" s="25">
        <v>42369</v>
      </c>
      <c r="E6" s="25">
        <v>42735</v>
      </c>
      <c r="F6" s="25">
        <v>43100</v>
      </c>
      <c r="G6" s="25">
        <v>43465</v>
      </c>
      <c r="H6" s="25">
        <v>43830</v>
      </c>
      <c r="I6" s="25">
        <v>44196</v>
      </c>
      <c r="J6" s="25">
        <v>44561</v>
      </c>
    </row>
    <row r="7" spans="2:10" x14ac:dyDescent="0.3">
      <c r="B7" s="23" t="s">
        <v>157</v>
      </c>
      <c r="C7" s="57"/>
      <c r="D7" s="57"/>
      <c r="E7" s="57"/>
      <c r="F7" s="48">
        <f>E11</f>
        <v>485.3</v>
      </c>
      <c r="G7" s="48">
        <f ca="1">F11</f>
        <v>691.01555059288535</v>
      </c>
      <c r="H7" s="48">
        <f t="shared" ref="G7:J7" ca="1" si="0">G11</f>
        <v>905.08695515642376</v>
      </c>
      <c r="I7" s="48">
        <f t="shared" ca="1" si="0"/>
        <v>1127.8519457029515</v>
      </c>
      <c r="J7" s="48">
        <f t="shared" ca="1" si="0"/>
        <v>1359.6660020586651</v>
      </c>
    </row>
    <row r="8" spans="2:10" x14ac:dyDescent="0.3">
      <c r="B8" s="23" t="s">
        <v>158</v>
      </c>
      <c r="C8" s="57"/>
      <c r="D8" s="57"/>
      <c r="E8" s="57"/>
      <c r="F8" s="48">
        <v>0</v>
      </c>
      <c r="G8" s="48">
        <v>0</v>
      </c>
      <c r="H8" s="48">
        <v>0</v>
      </c>
      <c r="I8" s="48">
        <v>0</v>
      </c>
      <c r="J8" s="48">
        <v>0</v>
      </c>
    </row>
    <row r="9" spans="2:10" x14ac:dyDescent="0.3">
      <c r="B9" s="23" t="s">
        <v>159</v>
      </c>
      <c r="C9" s="57"/>
      <c r="D9" s="57"/>
      <c r="E9" s="57"/>
      <c r="F9" s="23">
        <f ca="1">'P&amp;L'!H14</f>
        <v>342.85925098814226</v>
      </c>
      <c r="G9" s="47">
        <f ca="1">'P&amp;L'!I14</f>
        <v>356.78567427256388</v>
      </c>
      <c r="H9" s="23">
        <f ca="1">'P&amp;L'!J14</f>
        <v>371.27498424421293</v>
      </c>
      <c r="I9" s="23">
        <f ca="1">'P&amp;L'!K14</f>
        <v>386.35676059285606</v>
      </c>
      <c r="J9" s="23">
        <f ca="1">'P&amp;L'!L14</f>
        <v>402.06260497856908</v>
      </c>
    </row>
    <row r="10" spans="2:10" ht="12.5" thickBot="1" x14ac:dyDescent="0.35">
      <c r="B10" s="23" t="s">
        <v>160</v>
      </c>
      <c r="C10" s="57"/>
      <c r="D10" s="57"/>
      <c r="E10" s="57"/>
      <c r="F10" s="48">
        <f ca="1">IF(F9&gt;0,-F13*F9)</f>
        <v>-137.1437003952569</v>
      </c>
      <c r="G10" s="48">
        <f ca="1">IF(G9&gt;0,-G13*G9)</f>
        <v>-142.71426970902556</v>
      </c>
      <c r="H10" s="48">
        <f t="shared" ref="G10:J10" ca="1" si="1">IF(H9&gt;0,-H13*H9)</f>
        <v>-148.50999369768519</v>
      </c>
      <c r="I10" s="48">
        <f t="shared" ca="1" si="1"/>
        <v>-154.54270423714243</v>
      </c>
      <c r="J10" s="48">
        <f t="shared" ca="1" si="1"/>
        <v>-160.82504199142764</v>
      </c>
    </row>
    <row r="11" spans="2:10" ht="12.5" thickTop="1" x14ac:dyDescent="0.3">
      <c r="B11" s="50" t="s">
        <v>161</v>
      </c>
      <c r="C11" s="50">
        <f>SUM(C7:C10)</f>
        <v>0</v>
      </c>
      <c r="D11" s="50">
        <f t="shared" ref="D11:E11" si="2">SUM(D7:D10)</f>
        <v>0</v>
      </c>
      <c r="E11" s="50">
        <f>BS!E18</f>
        <v>485.3</v>
      </c>
      <c r="F11" s="55">
        <f ca="1">SUM(F7:F10)</f>
        <v>691.01555059288535</v>
      </c>
      <c r="G11" s="55">
        <f t="shared" ref="G11:J11" ca="1" si="3">SUM(G7:G10)</f>
        <v>905.08695515642376</v>
      </c>
      <c r="H11" s="55">
        <f t="shared" ca="1" si="3"/>
        <v>1127.8519457029515</v>
      </c>
      <c r="I11" s="55">
        <f t="shared" ca="1" si="3"/>
        <v>1359.6660020586651</v>
      </c>
      <c r="J11" s="55">
        <f t="shared" ca="1" si="3"/>
        <v>1600.9035650458065</v>
      </c>
    </row>
    <row r="12" spans="2:10" x14ac:dyDescent="0.3">
      <c r="B12" s="23"/>
    </row>
    <row r="13" spans="2:10" x14ac:dyDescent="0.3">
      <c r="B13" s="52" t="s">
        <v>162</v>
      </c>
      <c r="C13" s="52"/>
      <c r="D13" s="53"/>
      <c r="E13" s="53"/>
      <c r="F13" s="53">
        <v>0.4</v>
      </c>
      <c r="G13" s="53">
        <v>0.4</v>
      </c>
      <c r="H13" s="53">
        <v>0.4</v>
      </c>
      <c r="I13" s="53">
        <v>0.4</v>
      </c>
      <c r="J13" s="53">
        <v>0.4</v>
      </c>
    </row>
    <row r="14" spans="2:10" x14ac:dyDescent="0.3">
      <c r="B14" s="52" t="s">
        <v>141</v>
      </c>
      <c r="C14" s="52"/>
      <c r="D14" s="53" t="e">
        <f>D10/D7</f>
        <v>#DIV/0!</v>
      </c>
      <c r="E14" s="53" t="e">
        <f>E10/E7</f>
        <v>#DIV/0!</v>
      </c>
      <c r="F14" s="54" t="e">
        <f>AVERAGE($D14:$E14)</f>
        <v>#DIV/0!</v>
      </c>
      <c r="G14" s="54" t="e">
        <f>AVERAGE($D14:$E14)</f>
        <v>#DIV/0!</v>
      </c>
      <c r="H14" s="54" t="e">
        <f>AVERAGE($D14:$E14)</f>
        <v>#DIV/0!</v>
      </c>
      <c r="I14" s="54" t="e">
        <f>AVERAGE($D14:$E14)</f>
        <v>#DIV/0!</v>
      </c>
      <c r="J14" s="54" t="e">
        <f>AVERAGE($D14:$E14)</f>
        <v>#DIV/0!</v>
      </c>
    </row>
    <row r="15" spans="2:10" x14ac:dyDescent="0.3">
      <c r="B15" s="23"/>
      <c r="C15" s="23"/>
      <c r="D15" s="23"/>
      <c r="E15" s="23"/>
      <c r="F15" s="23"/>
      <c r="G15" s="23"/>
      <c r="H15" s="23"/>
      <c r="I15" s="23"/>
      <c r="J15" s="23"/>
    </row>
    <row r="16" spans="2:10" x14ac:dyDescent="0.3">
      <c r="B16" s="23"/>
      <c r="C16" s="23"/>
      <c r="D16" s="23"/>
      <c r="E16" s="23"/>
      <c r="F16" s="23"/>
      <c r="G16" s="23"/>
      <c r="H16" s="23"/>
      <c r="I16" s="23"/>
      <c r="J16" s="23"/>
    </row>
  </sheetData>
  <mergeCells count="1">
    <mergeCell ref="F4:J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D8C12-6B47-415B-B536-02D042A35D0E}">
  <dimension ref="B1:G20"/>
  <sheetViews>
    <sheetView workbookViewId="0">
      <selection activeCell="I8" sqref="I8"/>
    </sheetView>
  </sheetViews>
  <sheetFormatPr defaultRowHeight="12" x14ac:dyDescent="0.3"/>
  <cols>
    <col min="1" max="1" width="3.6328125" style="49" customWidth="1"/>
    <col min="2" max="2" width="25.36328125" style="49" customWidth="1"/>
    <col min="3" max="16384" width="8.7265625" style="49"/>
  </cols>
  <sheetData>
    <row r="1" spans="2:7" x14ac:dyDescent="0.3">
      <c r="B1" s="67"/>
    </row>
    <row r="2" spans="2:7" x14ac:dyDescent="0.3">
      <c r="B2" s="67" t="s">
        <v>163</v>
      </c>
      <c r="C2" s="23"/>
      <c r="D2" s="23"/>
      <c r="E2" s="23"/>
      <c r="F2" s="23"/>
      <c r="G2" s="23"/>
    </row>
    <row r="3" spans="2:7" x14ac:dyDescent="0.3">
      <c r="B3" s="23"/>
      <c r="C3" s="29" t="s">
        <v>175</v>
      </c>
      <c r="D3" s="29"/>
      <c r="E3" s="29"/>
      <c r="F3" s="29"/>
      <c r="G3" s="29"/>
    </row>
    <row r="4" spans="2:7" x14ac:dyDescent="0.3">
      <c r="B4" s="69" t="s">
        <v>62</v>
      </c>
      <c r="C4" s="69">
        <v>2017</v>
      </c>
      <c r="D4" s="69">
        <v>2018</v>
      </c>
      <c r="E4" s="69">
        <v>2019</v>
      </c>
      <c r="F4" s="69">
        <v>2020</v>
      </c>
      <c r="G4" s="69">
        <v>2021</v>
      </c>
    </row>
    <row r="5" spans="2:7" x14ac:dyDescent="0.3">
      <c r="B5" s="23" t="s">
        <v>58</v>
      </c>
      <c r="C5" s="47">
        <f ca="1">'P&amp;L'!H8</f>
        <v>626.24</v>
      </c>
      <c r="D5" s="47">
        <f ca="1">'P&amp;L'!I8</f>
        <v>645.02719999999999</v>
      </c>
      <c r="E5" s="47">
        <f ca="1">'P&amp;L'!J8</f>
        <v>664.37801600000012</v>
      </c>
      <c r="F5" s="47">
        <f ca="1">'P&amp;L'!K8</f>
        <v>684.30935648000013</v>
      </c>
      <c r="G5" s="47">
        <f ca="1">'P&amp;L'!L8</f>
        <v>704.83863717440022</v>
      </c>
    </row>
    <row r="6" spans="2:7" x14ac:dyDescent="0.3">
      <c r="B6" s="23" t="s">
        <v>164</v>
      </c>
      <c r="C6" s="47">
        <f>'P&amp;L'!H11</f>
        <v>-54.449999999999996</v>
      </c>
      <c r="D6" s="47">
        <f>'P&amp;L'!I11</f>
        <v>-50.866096104453106</v>
      </c>
      <c r="E6" s="47">
        <f>'P&amp;L'!J11</f>
        <v>-46.959640858306997</v>
      </c>
      <c r="F6" s="47">
        <f>'P&amp;L'!K11</f>
        <v>-42.701604640007737</v>
      </c>
      <c r="G6" s="47">
        <f>'P&amp;L'!L11</f>
        <v>-38.060345162061552</v>
      </c>
    </row>
    <row r="7" spans="2:7" x14ac:dyDescent="0.3">
      <c r="B7" s="23" t="s">
        <v>50</v>
      </c>
      <c r="C7" s="47">
        <f ca="1">'P&amp;L'!H13</f>
        <v>-184.61651976284583</v>
      </c>
      <c r="D7" s="47">
        <f ca="1">'P&amp;L'!I13</f>
        <v>-192.11536306984209</v>
      </c>
      <c r="E7" s="47">
        <f ca="1">'P&amp;L'!J13</f>
        <v>-199.91729920842232</v>
      </c>
      <c r="F7" s="47">
        <f ca="1">'P&amp;L'!K13</f>
        <v>-208.03825570384558</v>
      </c>
      <c r="G7" s="47">
        <f ca="1">'P&amp;L'!L13</f>
        <v>-216.4952488346141</v>
      </c>
    </row>
    <row r="8" spans="2:7" x14ac:dyDescent="0.3">
      <c r="B8" s="23" t="s">
        <v>165</v>
      </c>
      <c r="C8" s="47">
        <f ca="1">-(BS!F7-BS!E7)</f>
        <v>5.627420635663384</v>
      </c>
      <c r="D8" s="47">
        <f ca="1">-(BS!G7-BS!F7)</f>
        <v>-4.9101773809300937</v>
      </c>
      <c r="E8" s="47">
        <f ca="1">-(BS!H7-BS!G7)</f>
        <v>-5.0574827023580156</v>
      </c>
      <c r="F8" s="47">
        <f ca="1">-(BS!I7-BS!H7)</f>
        <v>-5.2092071834287594</v>
      </c>
      <c r="G8" s="47">
        <f ca="1">-(BS!J7-BS!I7)</f>
        <v>-5.3654833989315875</v>
      </c>
    </row>
    <row r="9" spans="2:7" x14ac:dyDescent="0.3">
      <c r="B9" s="23" t="s">
        <v>166</v>
      </c>
      <c r="C9" s="47">
        <f ca="1">-(BS!F8-BS!E8)</f>
        <v>12.465696356761697</v>
      </c>
      <c r="D9" s="47">
        <f ca="1">-(BS!G8-BS!F8)</f>
        <v>-2.9260291092971755</v>
      </c>
      <c r="E9" s="47">
        <f ca="1">-(BS!H8-BS!G8)</f>
        <v>-3.0138099825760776</v>
      </c>
      <c r="F9" s="47">
        <f ca="1">-(BS!I8-BS!H8)</f>
        <v>-3.1042242820533232</v>
      </c>
      <c r="G9" s="47">
        <f ca="1">-(BS!J8-BS!I8)</f>
        <v>-3.1973510105149501</v>
      </c>
    </row>
    <row r="10" spans="2:7" x14ac:dyDescent="0.3">
      <c r="B10" s="23" t="s">
        <v>167</v>
      </c>
      <c r="C10" s="47">
        <f ca="1">BS!F14-BS!E14</f>
        <v>0.96881426626879374</v>
      </c>
      <c r="D10" s="47">
        <f ca="1">BS!G14-BS!F14</f>
        <v>2.0960644279880682</v>
      </c>
      <c r="E10" s="47">
        <f ca="1">BS!H14-BS!G14</f>
        <v>2.1589463608276986</v>
      </c>
      <c r="F10" s="47">
        <f ca="1">BS!I14-BS!H14</f>
        <v>2.2237147516525368</v>
      </c>
      <c r="G10" s="47">
        <f ca="1">BS!J14-BS!I14</f>
        <v>2.2904261942021265</v>
      </c>
    </row>
    <row r="11" spans="2:7" x14ac:dyDescent="0.3">
      <c r="B11" s="23" t="s">
        <v>168</v>
      </c>
      <c r="C11" s="47">
        <f ca="1">-(BS!F11-BS!E11)</f>
        <v>11.853411028107011</v>
      </c>
      <c r="D11" s="47">
        <f ca="1">-(BS!G11-BS!F11)</f>
        <v>-1.6843976691567946</v>
      </c>
      <c r="E11" s="47">
        <f ca="1">-(BS!H11-BS!G11)</f>
        <v>-1.7349295992314993</v>
      </c>
      <c r="F11" s="47">
        <f ca="1">-(BS!I11-BS!H11)</f>
        <v>-1.7869774872084392</v>
      </c>
      <c r="G11" s="47">
        <f ca="1">-(BS!J11-BS!I11)</f>
        <v>-1.8405868118246929</v>
      </c>
    </row>
    <row r="12" spans="2:7" x14ac:dyDescent="0.3">
      <c r="B12" s="23" t="s">
        <v>169</v>
      </c>
      <c r="C12" s="47">
        <f ca="1">BS!F17-BS!E17</f>
        <v>6.8536690999040317</v>
      </c>
      <c r="D12" s="47">
        <f ca="1">BS!G17-BS!F17</f>
        <v>1.3726100729971193</v>
      </c>
      <c r="E12" s="47">
        <f ca="1">BS!H17-BS!G17</f>
        <v>1.413788375187039</v>
      </c>
      <c r="F12" s="47">
        <f ca="1">BS!I17-BS!H17</f>
        <v>1.4562020264426465</v>
      </c>
      <c r="G12" s="47">
        <f ca="1">BS!J17-BS!I17</f>
        <v>1.4998880872359308</v>
      </c>
    </row>
    <row r="13" spans="2:7" ht="12.5" thickBot="1" x14ac:dyDescent="0.35">
      <c r="B13" s="23" t="s">
        <v>138</v>
      </c>
      <c r="C13" s="47">
        <f>-'FA Roll Forward'!F9</f>
        <v>-58.390513833992095</v>
      </c>
      <c r="D13" s="47">
        <f>-'FA Roll Forward'!G9</f>
        <v>-59.63679357590339</v>
      </c>
      <c r="E13" s="47">
        <f>-'FA Roll Forward'!H9</f>
        <v>-60.909673754993825</v>
      </c>
      <c r="F13" s="47">
        <f>-'FA Roll Forward'!I9</f>
        <v>-62.209722127630052</v>
      </c>
      <c r="G13" s="47">
        <f>-'FA Roll Forward'!J9</f>
        <v>-63.537518568298829</v>
      </c>
    </row>
    <row r="14" spans="2:7" ht="12.5" thickTop="1" x14ac:dyDescent="0.3">
      <c r="B14" s="68" t="s">
        <v>170</v>
      </c>
      <c r="C14" s="71">
        <f ca="1">SUM(C5:C13)</f>
        <v>366.55197778986701</v>
      </c>
      <c r="D14" s="71">
        <f t="shared" ref="D14:G14" ca="1" si="0">SUM(D5:D13)</f>
        <v>336.35701759140255</v>
      </c>
      <c r="E14" s="71">
        <f t="shared" ca="1" si="0"/>
        <v>350.35791463012606</v>
      </c>
      <c r="F14" s="71">
        <f t="shared" ca="1" si="0"/>
        <v>364.93928183392137</v>
      </c>
      <c r="G14" s="71">
        <f t="shared" ca="1" si="0"/>
        <v>380.1324176695926</v>
      </c>
    </row>
    <row r="15" spans="2:7" x14ac:dyDescent="0.3">
      <c r="B15" s="23" t="s">
        <v>160</v>
      </c>
      <c r="C15" s="47">
        <f ca="1">'Equity Schedule'!F10</f>
        <v>-137.1437003952569</v>
      </c>
      <c r="D15" s="47">
        <f ca="1">'Equity Schedule'!G10</f>
        <v>-142.71426970902556</v>
      </c>
      <c r="E15" s="47">
        <f ca="1">'Equity Schedule'!H10</f>
        <v>-148.50999369768519</v>
      </c>
      <c r="F15" s="47">
        <f ca="1">'Equity Schedule'!I10</f>
        <v>-154.54270423714243</v>
      </c>
      <c r="G15" s="47">
        <f ca="1">'Equity Schedule'!J10</f>
        <v>-160.82504199142764</v>
      </c>
    </row>
    <row r="16" spans="2:7" x14ac:dyDescent="0.3">
      <c r="B16" s="23" t="s">
        <v>171</v>
      </c>
      <c r="C16" s="47">
        <f>'Financial Liabilities'!F10-'Financial Liabilities'!E10</f>
        <v>-39.821154394965447</v>
      </c>
      <c r="D16" s="47">
        <f>'Financial Liabilities'!G10-'Financial Liabilities'!F10</f>
        <v>-43.405058290512329</v>
      </c>
      <c r="E16" s="47">
        <f>'Financial Liabilities'!H10-'Financial Liabilities'!G10</f>
        <v>-47.311513536658424</v>
      </c>
      <c r="F16" s="47">
        <f>'Financial Liabilities'!I10-'Financial Liabilities'!H10</f>
        <v>-51.569549754957677</v>
      </c>
      <c r="G16" s="47">
        <f>'Financial Liabilities'!J10-'Financial Liabilities'!I10</f>
        <v>-56.210809232903898</v>
      </c>
    </row>
    <row r="17" spans="2:7" x14ac:dyDescent="0.3">
      <c r="B17" s="23" t="s">
        <v>172</v>
      </c>
      <c r="C17" s="47">
        <f>BS!F15-BS!E15</f>
        <v>0</v>
      </c>
      <c r="D17" s="47">
        <f>BS!G15-BS!F15</f>
        <v>0</v>
      </c>
      <c r="E17" s="47">
        <f>BS!H15-BS!G15</f>
        <v>0</v>
      </c>
      <c r="F17" s="47">
        <f>BS!I15-BS!H15</f>
        <v>0</v>
      </c>
      <c r="G17" s="47">
        <f>BS!J15-BS!I15</f>
        <v>0</v>
      </c>
    </row>
    <row r="18" spans="2:7" x14ac:dyDescent="0.3">
      <c r="B18" s="23" t="s">
        <v>173</v>
      </c>
      <c r="C18" s="47">
        <f ca="1">'Equity Schedule'!F11-'Equity Schedule'!E11-'Equity Schedule'!F9-'Equity Schedule'!F10</f>
        <v>0</v>
      </c>
      <c r="D18" s="47">
        <f ca="1">'Equity Schedule'!G11-'Equity Schedule'!F11-'Equity Schedule'!G9-'Equity Schedule'!G10</f>
        <v>0</v>
      </c>
      <c r="E18" s="47">
        <f ca="1">'Equity Schedule'!H11-'Equity Schedule'!G11-'Equity Schedule'!H9-'Equity Schedule'!H10</f>
        <v>0</v>
      </c>
      <c r="F18" s="47">
        <f ca="1">'Equity Schedule'!I11-'Equity Schedule'!H11-'Equity Schedule'!I9-'Equity Schedule'!I10</f>
        <v>0</v>
      </c>
      <c r="G18" s="47">
        <f ca="1">'Equity Schedule'!J11-'Equity Schedule'!I11-'Equity Schedule'!J9-'Equity Schedule'!J10</f>
        <v>0</v>
      </c>
    </row>
    <row r="19" spans="2:7" ht="12.5" thickBot="1" x14ac:dyDescent="0.35">
      <c r="B19" s="70" t="s">
        <v>174</v>
      </c>
      <c r="C19" s="72">
        <f ca="1">SUM(C14:C18)</f>
        <v>189.58712299964466</v>
      </c>
      <c r="D19" s="72">
        <f t="shared" ref="D19:G19" ca="1" si="1">SUM(D14:D18)</f>
        <v>150.23768959186467</v>
      </c>
      <c r="E19" s="72">
        <f t="shared" ca="1" si="1"/>
        <v>154.53640739578245</v>
      </c>
      <c r="F19" s="72">
        <f t="shared" ca="1" si="1"/>
        <v>158.82702784182126</v>
      </c>
      <c r="G19" s="72">
        <f t="shared" ca="1" si="1"/>
        <v>163.09656644526106</v>
      </c>
    </row>
    <row r="20" spans="2:7" ht="12.5" thickTop="1" x14ac:dyDescent="0.3"/>
  </sheetData>
  <mergeCells count="1">
    <mergeCell ref="C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Data Source</vt:lpstr>
      <vt:lpstr>BS 2014</vt:lpstr>
      <vt:lpstr>BS 2015</vt:lpstr>
      <vt:lpstr>BS 2016</vt:lpstr>
      <vt:lpstr>Work</vt:lpstr>
      <vt:lpstr>P&amp;L</vt:lpstr>
      <vt:lpstr>BS</vt:lpstr>
      <vt:lpstr>FA Roll Forward</vt:lpstr>
      <vt:lpstr>Financial Liabilities</vt:lpstr>
      <vt:lpstr>Equity Schedule</vt:lpstr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Avaneesh Pancham</cp:lastModifiedBy>
  <dcterms:created xsi:type="dcterms:W3CDTF">2016-02-10T00:20:36Z</dcterms:created>
  <dcterms:modified xsi:type="dcterms:W3CDTF">2026-01-09T19:05:55Z</dcterms:modified>
</cp:coreProperties>
</file>